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B3964438-9F7C-4921-8219-C0F20FC97407}" xr6:coauthVersionLast="47" xr6:coauthVersionMax="47" xr10:uidLastSave="{00000000-0000-0000-0000-000000000000}"/>
  <bookViews>
    <workbookView xWindow="-98" yWindow="-98" windowWidth="21795" windowHeight="12975" tabRatio="808" activeTab="8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V13" i="24" s="1"/>
  <c r="S11" i="24"/>
  <c r="P12" i="24"/>
  <c r="S12" i="24"/>
  <c r="P13" i="24"/>
  <c r="S13" i="24"/>
  <c r="P14" i="24"/>
  <c r="S14" i="24"/>
  <c r="P15" i="24"/>
  <c r="S15" i="24"/>
  <c r="P16" i="24"/>
  <c r="S16" i="24"/>
  <c r="U16" i="24"/>
  <c r="V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U13" i="24" l="1"/>
  <c r="U8" i="24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<sst xmlns="http://schemas.openxmlformats.org/spreadsheetml/2006/main" count="1049" uniqueCount="293">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</sst>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10" xfId="11" applyFont="1" applyBorder="1"/>
    <xf numFmtId="0" fontId="66" fillId="0" borderId="109" xfId="11" applyFont="1" applyBorder="1"/>
    <xf numFmtId="0" fontId="62" fillId="0" borderId="109" xfId="11" applyFont="1" applyBorder="1"/>
    <xf numFmtId="0" fontId="66" fillId="0" borderId="177" xfId="11" applyFont="1" applyBorder="1"/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 wrapText="1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M22" sqref="AM22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200" t="s">
        <v>34</v>
      </c>
      <c r="B2" s="86"/>
      <c r="C2" s="15"/>
      <c r="D2" s="211" t="s">
        <v>35</v>
      </c>
      <c r="E2" s="211"/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06" t="s">
        <v>36</v>
      </c>
      <c r="U2" s="206"/>
      <c r="V2" s="206"/>
      <c r="W2" s="206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5" t="s">
        <v>37</v>
      </c>
      <c r="AK2" s="205"/>
      <c r="AL2" s="205"/>
      <c r="AM2" s="205"/>
      <c r="AN2" s="205"/>
      <c r="AO2" s="205"/>
      <c r="AP2" s="205"/>
      <c r="AQ2" s="205"/>
      <c r="AR2" s="205"/>
      <c r="AS2" s="205"/>
      <c r="AT2" s="205"/>
      <c r="AU2" s="205"/>
      <c r="AV2" s="204" t="s">
        <v>38</v>
      </c>
      <c r="AW2" s="204"/>
      <c r="AX2" s="204"/>
      <c r="AY2" s="204"/>
      <c r="AZ2" s="204"/>
      <c r="BA2" s="204"/>
      <c r="BB2" s="204"/>
      <c r="BC2" s="204"/>
      <c r="BD2" s="204"/>
      <c r="BE2" s="204"/>
      <c r="BF2" s="204"/>
      <c r="BG2" s="204"/>
    </row>
    <row r="3" spans="1:675" s="3" customFormat="1" ht="28.25" customHeight="1" x14ac:dyDescent="0.3">
      <c r="A3" s="200"/>
      <c r="B3" s="212" t="s">
        <v>39</v>
      </c>
      <c r="C3" s="87"/>
      <c r="D3" s="202" t="s">
        <v>3</v>
      </c>
      <c r="E3" s="203"/>
      <c r="F3" s="203"/>
      <c r="G3" s="203"/>
      <c r="H3" s="202" t="s">
        <v>40</v>
      </c>
      <c r="I3" s="203"/>
      <c r="J3" s="203"/>
      <c r="K3" s="203"/>
      <c r="L3" s="202" t="s">
        <v>41</v>
      </c>
      <c r="M3" s="203"/>
      <c r="N3" s="203"/>
      <c r="O3" s="203"/>
      <c r="P3" s="215" t="s">
        <v>42</v>
      </c>
      <c r="Q3" s="216"/>
      <c r="R3" s="216"/>
      <c r="S3" s="217"/>
      <c r="T3" s="202" t="s">
        <v>43</v>
      </c>
      <c r="U3" s="203"/>
      <c r="V3" s="203"/>
      <c r="W3" s="203"/>
      <c r="X3" s="202" t="s">
        <v>45</v>
      </c>
      <c r="Y3" s="203"/>
      <c r="Z3" s="203"/>
      <c r="AA3" s="203"/>
      <c r="AB3" s="202" t="s">
        <v>47</v>
      </c>
      <c r="AC3" s="203"/>
      <c r="AD3" s="203"/>
      <c r="AE3" s="203"/>
      <c r="AF3" s="202" t="s">
        <v>48</v>
      </c>
      <c r="AG3" s="203"/>
      <c r="AH3" s="203"/>
      <c r="AI3" s="203"/>
      <c r="AJ3" s="208" t="s">
        <v>51</v>
      </c>
      <c r="AK3" s="209"/>
      <c r="AL3" s="209"/>
      <c r="AM3" s="210"/>
      <c r="AN3" s="208" t="s">
        <v>14</v>
      </c>
      <c r="AO3" s="209"/>
      <c r="AP3" s="209"/>
      <c r="AQ3" s="210"/>
      <c r="AR3" s="208" t="s">
        <v>52</v>
      </c>
      <c r="AS3" s="209"/>
      <c r="AT3" s="209"/>
      <c r="AU3" s="210"/>
      <c r="AV3" s="203" t="s">
        <v>16</v>
      </c>
      <c r="AW3" s="203"/>
      <c r="AX3" s="203"/>
      <c r="AY3" s="203"/>
      <c r="AZ3" s="203" t="s">
        <v>54</v>
      </c>
      <c r="BA3" s="203"/>
      <c r="BB3" s="203"/>
      <c r="BC3" s="203"/>
      <c r="BD3" s="202" t="s">
        <v>55</v>
      </c>
      <c r="BE3" s="203"/>
      <c r="BF3" s="207"/>
      <c r="BG3" s="203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01"/>
      <c r="B4" s="212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52">
        <f t="shared" ref="AE5:AE18" si="13">AB5-AC5</f>
        <v>-3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0.84599999999999997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0.124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13</v>
      </c>
      <c r="F6" s="14">
        <f t="shared" si="0"/>
        <v>1.8571428571428572</v>
      </c>
      <c r="G6" s="52">
        <f t="shared" si="1"/>
        <v>-6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0.78190000000000004</v>
      </c>
      <c r="AT6" s="14">
        <f t="shared" si="20"/>
        <v>0</v>
      </c>
      <c r="AU6" s="54">
        <f t="shared" si="21"/>
        <v>0.18809999999999993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52">
        <f t="shared" si="15"/>
        <v>-4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0.82590000000000008</v>
      </c>
      <c r="AT7" s="14">
        <f t="shared" si="20"/>
        <v>0</v>
      </c>
      <c r="AU7" s="54">
        <f t="shared" si="21"/>
        <v>0.14409999999999989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0.81810000000000005</v>
      </c>
      <c r="AT8" s="14">
        <f t="shared" si="20"/>
        <v>0</v>
      </c>
      <c r="AU8" s="54">
        <f t="shared" si="21"/>
        <v>0.15189999999999992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9</v>
      </c>
      <c r="Z9" s="14">
        <f t="shared" si="10"/>
        <v>9</v>
      </c>
      <c r="AA9" s="52">
        <f t="shared" si="11"/>
        <v>-8</v>
      </c>
      <c r="AB9" s="57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52">
        <f t="shared" si="13"/>
        <v>-45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0.8246</v>
      </c>
      <c r="AT9" s="14">
        <f t="shared" si="20"/>
        <v>0</v>
      </c>
      <c r="AU9" s="54">
        <f t="shared" si="21"/>
        <v>0.14539999999999997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52">
        <f t="shared" si="11"/>
        <v>-2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0.78849999999999998</v>
      </c>
      <c r="AT10" s="14">
        <f t="shared" si="20"/>
        <v>0</v>
      </c>
      <c r="AU10" s="54">
        <f t="shared" si="21"/>
        <v>0.18149999999999999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7">
        <f t="shared" si="19"/>
        <v>1.6</v>
      </c>
      <c r="AR11" s="33">
        <v>0.97</v>
      </c>
      <c r="AS11" s="129">
        <f>(VLOOKUP(B11,cuoc!$B$7:$P$27,14,0))*1%</f>
        <v>0.78110000000000002</v>
      </c>
      <c r="AT11" s="14">
        <f t="shared" si="20"/>
        <v>0</v>
      </c>
      <c r="AU11" s="54">
        <f t="shared" si="21"/>
        <v>0.18889999999999996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10</v>
      </c>
      <c r="F12" s="14">
        <f t="shared" si="0"/>
        <v>1.25</v>
      </c>
      <c r="G12" s="52">
        <f t="shared" si="1"/>
        <v>-2</v>
      </c>
      <c r="H12" s="12">
        <f>VLOOKUP(C12,'Giao CT'!$D$6:$S$20,4,0)</f>
        <v>4</v>
      </c>
      <c r="I12" s="13">
        <f>VLOOKUP(C12,GBOC!$E$7:$DG$29,$B$21,0)</f>
        <v>3</v>
      </c>
      <c r="J12" s="14">
        <f t="shared" si="2"/>
        <v>0.75</v>
      </c>
      <c r="K12" s="52">
        <f t="shared" si="3"/>
        <v>1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0.79359999999999997</v>
      </c>
      <c r="AT12" s="14">
        <f t="shared" si="20"/>
        <v>0</v>
      </c>
      <c r="AU12" s="54">
        <f t="shared" si="21"/>
        <v>0.1764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67</v>
      </c>
      <c r="AD13" s="14">
        <f t="shared" si="12"/>
        <v>2.2333333333333334</v>
      </c>
      <c r="AE13" s="52">
        <f t="shared" si="13"/>
        <v>-37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0.84310000000000007</v>
      </c>
      <c r="AT13" s="14">
        <f t="shared" si="20"/>
        <v>0</v>
      </c>
      <c r="AU13" s="54">
        <f t="shared" si="21"/>
        <v>0.1268999999999999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0.69230000000000003</v>
      </c>
      <c r="AT14" s="14">
        <f t="shared" si="20"/>
        <v>0</v>
      </c>
      <c r="AU14" s="54">
        <f t="shared" si="21"/>
        <v>0.27769999999999995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7</v>
      </c>
      <c r="F15" s="14">
        <f t="shared" si="0"/>
        <v>1</v>
      </c>
      <c r="G15" s="52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52">
        <f t="shared" si="13"/>
        <v>-21</v>
      </c>
      <c r="AF15" s="57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52">
        <f t="shared" si="15"/>
        <v>3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0.73290000000000011</v>
      </c>
      <c r="AT15" s="14">
        <f t="shared" si="20"/>
        <v>0</v>
      </c>
      <c r="AU15" s="54">
        <f t="shared" si="21"/>
        <v>0.23709999999999987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52">
        <f t="shared" si="13"/>
        <v>-31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4</v>
      </c>
      <c r="AL16" s="14">
        <f t="shared" si="16"/>
        <v>1</v>
      </c>
      <c r="AM16" s="67">
        <f t="shared" si="17"/>
        <v>1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0.81240000000000001</v>
      </c>
      <c r="AT16" s="14">
        <f t="shared" si="20"/>
        <v>0</v>
      </c>
      <c r="AU16" s="54">
        <f t="shared" si="21"/>
        <v>0.15759999999999996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8</v>
      </c>
      <c r="V17" s="14">
        <f t="shared" si="8"/>
        <v>2</v>
      </c>
      <c r="W17" s="50">
        <f t="shared" si="9"/>
        <v>-4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171</v>
      </c>
      <c r="AD17" s="14">
        <f t="shared" si="12"/>
        <v>2.85</v>
      </c>
      <c r="AE17" s="52">
        <f t="shared" si="13"/>
        <v>-111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0.81189999999999996</v>
      </c>
      <c r="AT17" s="14">
        <f t="shared" si="20"/>
        <v>0</v>
      </c>
      <c r="AU17" s="54">
        <f t="shared" si="21"/>
        <v>0.15810000000000002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0.78280000000000005</v>
      </c>
      <c r="AT18" s="14">
        <f t="shared" si="20"/>
        <v>0</v>
      </c>
      <c r="AU18" s="54">
        <f t="shared" si="21"/>
        <v>0.18719999999999992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13">
        <f ca="1">TODAY()</f>
        <v>46078</v>
      </c>
      <c r="G19" s="213"/>
      <c r="H19" s="90"/>
      <c r="I19" s="91">
        <f ca="1">DAY(F19)</f>
        <v>25</v>
      </c>
      <c r="J19" s="92">
        <v>31</v>
      </c>
      <c r="K19" s="95">
        <f ca="1">I19/J19</f>
        <v>0.80645161290322576</v>
      </c>
      <c r="L19" s="214" t="s">
        <v>124</v>
      </c>
      <c r="M19" s="214"/>
      <c r="N19" s="214"/>
      <c r="O19" s="214"/>
      <c r="P19" s="214"/>
      <c r="Q19" s="214"/>
      <c r="R19" s="214"/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4"/>
      <c r="AG19" s="214"/>
      <c r="AH19" s="214"/>
      <c r="AI19" s="214"/>
      <c r="AJ19" s="214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10" sqref="I1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3" t="s">
        <v>0</v>
      </c>
      <c r="B1" s="230" t="s">
        <v>132</v>
      </c>
      <c r="C1" s="231"/>
      <c r="D1" s="231"/>
      <c r="E1" s="231"/>
      <c r="F1" s="231"/>
      <c r="G1" s="231"/>
      <c r="H1" s="231"/>
      <c r="I1" s="231"/>
      <c r="J1" s="231"/>
    </row>
    <row r="2" spans="1:14" ht="43.5" customHeight="1" x14ac:dyDescent="0.45">
      <c r="A2" s="223"/>
      <c r="B2" s="44" t="s">
        <v>20</v>
      </c>
      <c r="C2" s="224" t="s">
        <v>2</v>
      </c>
      <c r="D2" s="226" t="s">
        <v>58</v>
      </c>
      <c r="E2" s="219" t="s">
        <v>133</v>
      </c>
      <c r="F2" s="219" t="s">
        <v>133</v>
      </c>
      <c r="G2" s="62" t="s">
        <v>134</v>
      </c>
      <c r="H2" s="62" t="s">
        <v>135</v>
      </c>
      <c r="I2" s="232" t="s">
        <v>136</v>
      </c>
      <c r="J2" s="228" t="s">
        <v>137</v>
      </c>
      <c r="K2" s="222" t="s">
        <v>138</v>
      </c>
    </row>
    <row r="3" spans="1:14" ht="35.25" customHeight="1" x14ac:dyDescent="0.45">
      <c r="A3" s="39" t="s">
        <v>139</v>
      </c>
      <c r="B3" s="41" t="s">
        <v>140</v>
      </c>
      <c r="C3" s="225"/>
      <c r="D3" s="227"/>
      <c r="E3" s="220"/>
      <c r="F3" s="220"/>
      <c r="G3" s="63">
        <f>SUM(G4:G14)</f>
        <v>101</v>
      </c>
      <c r="H3" s="94">
        <f>SUM(H4:H14)</f>
        <v>125.7</v>
      </c>
      <c r="I3" s="233"/>
      <c r="J3" s="229"/>
      <c r="K3" s="222"/>
      <c r="L3" s="218" t="s">
        <v>141</v>
      </c>
      <c r="M3" s="218"/>
      <c r="N3" s="218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4</v>
      </c>
      <c r="E4" s="46">
        <f t="shared" ref="E4:E7" si="0">D4/C4</f>
        <v>1</v>
      </c>
      <c r="F4" s="46">
        <f t="shared" ref="F4:F13" si="1">MAX(E4,0)</f>
        <v>1</v>
      </c>
      <c r="G4" s="127">
        <v>10</v>
      </c>
      <c r="H4" s="128">
        <f>G4*1.2</f>
        <v>12</v>
      </c>
      <c r="I4" s="126">
        <f>IF(F4&gt;=1.3,G4*1.3,F4*G4)</f>
        <v>10</v>
      </c>
      <c r="J4" s="65">
        <f t="shared" ref="J4:J14" si="2">C4-D4</f>
        <v>0</v>
      </c>
      <c r="K4" s="222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30</v>
      </c>
      <c r="D5" s="74">
        <f>VLOOKUP($B$2,'TH NV'!$A$5:$BG$18,N10,0)</f>
        <v>33</v>
      </c>
      <c r="E5" s="46">
        <f t="shared" si="0"/>
        <v>1.1000000000000001</v>
      </c>
      <c r="F5" s="46">
        <f t="shared" si="1"/>
        <v>1.1000000000000001</v>
      </c>
      <c r="G5" s="127">
        <v>10</v>
      </c>
      <c r="H5" s="128">
        <f>G5*1.3</f>
        <v>13</v>
      </c>
      <c r="I5" s="126">
        <f>IF(F5&gt;=1.2,G5*1.2,F5*G5)</f>
        <v>11</v>
      </c>
      <c r="J5" s="65">
        <f t="shared" si="2"/>
        <v>-3</v>
      </c>
      <c r="K5" s="222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7</v>
      </c>
      <c r="E6" s="46">
        <f t="shared" si="0"/>
        <v>0.875</v>
      </c>
      <c r="F6" s="46">
        <f t="shared" si="1"/>
        <v>0.875</v>
      </c>
      <c r="G6" s="127">
        <v>15</v>
      </c>
      <c r="H6" s="128">
        <f>G6*1.3</f>
        <v>19.5</v>
      </c>
      <c r="I6" s="126">
        <f>IF(F6&gt;=1.3,G6*1.3,F6*G6)</f>
        <v>13.125</v>
      </c>
      <c r="J6" s="65">
        <f t="shared" si="2"/>
        <v>1</v>
      </c>
      <c r="K6" s="222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6</v>
      </c>
      <c r="E7" s="46">
        <f t="shared" si="0"/>
        <v>1.5</v>
      </c>
      <c r="F7" s="46">
        <f t="shared" si="1"/>
        <v>1.5</v>
      </c>
      <c r="G7" s="127">
        <v>10</v>
      </c>
      <c r="H7" s="128">
        <f>G7*1.2</f>
        <v>12</v>
      </c>
      <c r="I7" s="126">
        <f>IF(F7&gt;=1.2,G7*1.2,F7*G7)</f>
        <v>12</v>
      </c>
      <c r="J7" s="65">
        <f t="shared" si="2"/>
        <v>-2</v>
      </c>
      <c r="K7" s="222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6</v>
      </c>
      <c r="E8" s="46">
        <f>(D8/C8)</f>
        <v>1.2</v>
      </c>
      <c r="F8" s="46">
        <f t="shared" si="1"/>
        <v>1.2</v>
      </c>
      <c r="G8" s="127">
        <v>10</v>
      </c>
      <c r="H8" s="128">
        <f>G8*1.3</f>
        <v>13</v>
      </c>
      <c r="I8" s="126">
        <f>IF(F8&gt;=1.2,G8*1.2,F8*G8)</f>
        <v>12</v>
      </c>
      <c r="J8" s="65">
        <f t="shared" si="2"/>
        <v>-1</v>
      </c>
      <c r="K8" s="222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2</v>
      </c>
      <c r="E9" s="46">
        <f>200%-(D9/C9)</f>
        <v>1.5</v>
      </c>
      <c r="F9" s="46">
        <f t="shared" si="1"/>
        <v>1.5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12</v>
      </c>
      <c r="J9" s="65">
        <f t="shared" si="2"/>
        <v>2</v>
      </c>
      <c r="K9" s="222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3</v>
      </c>
      <c r="E10" s="46">
        <f>200%-IFERROR(D10/C10,2)</f>
        <v>1.4</v>
      </c>
      <c r="F10" s="46">
        <f t="shared" si="1"/>
        <v>1.4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2</v>
      </c>
      <c r="K10" s="222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12</v>
      </c>
      <c r="E11" s="46">
        <f>D11/C11</f>
        <v>1.3333333333333333</v>
      </c>
      <c r="F11" s="46">
        <f t="shared" si="1"/>
        <v>1.3333333333333333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-3</v>
      </c>
      <c r="K11" s="222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1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0</v>
      </c>
      <c r="K12" s="222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5</v>
      </c>
      <c r="D13" s="74">
        <f>VLOOKUP($B$2,'TH NV'!$A$5:$BG$18,N6,0)+VLOOKUP($B$2,'TH NV'!$A$5:$BG$18,N17,0)</f>
        <v>5</v>
      </c>
      <c r="E13" s="46">
        <f>D13/C13</f>
        <v>1</v>
      </c>
      <c r="F13" s="46">
        <f t="shared" si="1"/>
        <v>1</v>
      </c>
      <c r="G13" s="127">
        <v>10</v>
      </c>
      <c r="H13" s="128">
        <f t="shared" si="4"/>
        <v>12</v>
      </c>
      <c r="I13" s="126">
        <f t="shared" si="5"/>
        <v>10</v>
      </c>
      <c r="J13" s="65">
        <f t="shared" si="2"/>
        <v>0</v>
      </c>
      <c r="K13" s="222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0.84599999999999997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0.124</v>
      </c>
      <c r="K14" s="222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1" t="s">
        <v>153</v>
      </c>
      <c r="D15" s="221"/>
      <c r="E15" s="221"/>
      <c r="F15" s="221"/>
      <c r="G15" s="221"/>
      <c r="H15" s="221"/>
      <c r="I15" s="72">
        <f>SUM(I4:I14)</f>
        <v>98.125</v>
      </c>
      <c r="J15" s="43"/>
      <c r="K15" s="222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2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2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2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1" t="s">
        <v>35</v>
      </c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06" t="s">
        <v>36</v>
      </c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6"/>
      <c r="AH1" s="206"/>
      <c r="AI1" s="206"/>
      <c r="AJ1" s="234" t="s">
        <v>37</v>
      </c>
      <c r="AK1" s="234"/>
      <c r="AL1" s="234"/>
      <c r="AM1" s="234"/>
      <c r="AN1" s="234"/>
      <c r="AO1" s="234"/>
      <c r="AP1" s="234"/>
      <c r="AQ1" s="234"/>
      <c r="AR1" s="234"/>
      <c r="AS1" s="234"/>
      <c r="AT1" s="234"/>
      <c r="AU1" s="234"/>
      <c r="AV1" s="235" t="s">
        <v>38</v>
      </c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</row>
    <row r="2" spans="1:59" ht="15.6" customHeight="1" x14ac:dyDescent="0.45">
      <c r="B2" s="1"/>
      <c r="C2" s="1"/>
      <c r="D2" s="202" t="s">
        <v>3</v>
      </c>
      <c r="E2" s="203"/>
      <c r="F2" s="203"/>
      <c r="G2" s="203"/>
      <c r="H2" s="202" t="s">
        <v>40</v>
      </c>
      <c r="I2" s="203"/>
      <c r="J2" s="203"/>
      <c r="K2" s="203"/>
      <c r="L2" s="202" t="s">
        <v>41</v>
      </c>
      <c r="M2" s="203"/>
      <c r="N2" s="203"/>
      <c r="O2" s="203"/>
      <c r="P2" s="215" t="s">
        <v>42</v>
      </c>
      <c r="Q2" s="216"/>
      <c r="R2" s="216"/>
      <c r="S2" s="217"/>
      <c r="T2" s="202" t="s">
        <v>43</v>
      </c>
      <c r="U2" s="203"/>
      <c r="V2" s="203"/>
      <c r="W2" s="203"/>
      <c r="X2" s="202" t="s">
        <v>45</v>
      </c>
      <c r="Y2" s="203"/>
      <c r="Z2" s="203"/>
      <c r="AA2" s="203"/>
      <c r="AB2" s="202" t="s">
        <v>47</v>
      </c>
      <c r="AC2" s="203"/>
      <c r="AD2" s="203"/>
      <c r="AE2" s="203"/>
      <c r="AF2" s="202" t="s">
        <v>48</v>
      </c>
      <c r="AG2" s="203"/>
      <c r="AH2" s="203"/>
      <c r="AI2" s="203"/>
      <c r="AJ2" s="208" t="s">
        <v>51</v>
      </c>
      <c r="AK2" s="209"/>
      <c r="AL2" s="209"/>
      <c r="AM2" s="210"/>
      <c r="AN2" s="208" t="s">
        <v>14</v>
      </c>
      <c r="AO2" s="209"/>
      <c r="AP2" s="209"/>
      <c r="AQ2" s="210"/>
      <c r="AR2" s="208" t="s">
        <v>52</v>
      </c>
      <c r="AS2" s="209"/>
      <c r="AT2" s="209"/>
      <c r="AU2" s="210"/>
      <c r="AV2" s="203" t="s">
        <v>16</v>
      </c>
      <c r="AW2" s="203"/>
      <c r="AX2" s="203"/>
      <c r="AY2" s="203"/>
      <c r="AZ2" s="203" t="s">
        <v>54</v>
      </c>
      <c r="BA2" s="203"/>
      <c r="BB2" s="203"/>
      <c r="BC2" s="203"/>
      <c r="BD2" s="202" t="s">
        <v>55</v>
      </c>
      <c r="BE2" s="203"/>
      <c r="BF2" s="207"/>
      <c r="BG2" s="203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52">
        <f t="shared" ref="AE4" si="13">AB4-AC4</f>
        <v>-3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0.84599999999999997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0.124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7">
        <f t="shared" ref="AQ5:AQ16" si="47">MAX(AP5,0)</f>
        <v>1.6</v>
      </c>
      <c r="AR5" s="33">
        <v>0.97</v>
      </c>
      <c r="AS5" s="129">
        <f>(VLOOKUP(B5,cuoc!$B$7:$P$27,14,0))*1%</f>
        <v>0.78110000000000002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0.18889999999999996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10</v>
      </c>
      <c r="F6" s="14">
        <f t="shared" si="28"/>
        <v>1.25</v>
      </c>
      <c r="G6" s="52">
        <f t="shared" si="29"/>
        <v>-2</v>
      </c>
      <c r="H6" s="140">
        <f>VLOOKUP(A6,'Giao CT'!$D$6:$S$20,4,0)</f>
        <v>4</v>
      </c>
      <c r="I6" s="13">
        <f>VLOOKUP(A6,GBOC!$E$7:$DG$29,$B$22,0)</f>
        <v>3</v>
      </c>
      <c r="J6" s="14">
        <f t="shared" si="30"/>
        <v>0.75</v>
      </c>
      <c r="K6" s="52">
        <f t="shared" si="31"/>
        <v>1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0.79359999999999997</v>
      </c>
      <c r="AT6" s="14">
        <f t="shared" si="48"/>
        <v>0</v>
      </c>
      <c r="AU6" s="54">
        <f t="shared" si="49"/>
        <v>0.1764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0.69230000000000003</v>
      </c>
      <c r="AT7" s="14">
        <f t="shared" si="48"/>
        <v>0</v>
      </c>
      <c r="AU7" s="54">
        <f t="shared" si="49"/>
        <v>0.27769999999999995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52">
        <f t="shared" si="41"/>
        <v>-31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4</v>
      </c>
      <c r="AL8" s="14">
        <f t="shared" si="44"/>
        <v>1</v>
      </c>
      <c r="AM8" s="67">
        <f t="shared" si="45"/>
        <v>1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0.81240000000000001</v>
      </c>
      <c r="AT8" s="14">
        <f t="shared" si="48"/>
        <v>0</v>
      </c>
      <c r="AU8" s="54">
        <f t="shared" si="49"/>
        <v>0.15759999999999996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13</v>
      </c>
      <c r="F10" s="14">
        <f t="shared" si="28"/>
        <v>1.8571428571428572</v>
      </c>
      <c r="G10" s="52">
        <f t="shared" si="29"/>
        <v>-6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0.78190000000000004</v>
      </c>
      <c r="AT10" s="14">
        <f t="shared" si="48"/>
        <v>0</v>
      </c>
      <c r="AU10" s="54">
        <f t="shared" si="49"/>
        <v>0.18809999999999993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52">
        <f t="shared" si="43"/>
        <v>-4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0.82590000000000008</v>
      </c>
      <c r="AT11" s="14">
        <f t="shared" si="48"/>
        <v>0</v>
      </c>
      <c r="AU11" s="54">
        <f t="shared" si="49"/>
        <v>0.14409999999999989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0.81810000000000005</v>
      </c>
      <c r="AT12" s="14">
        <f t="shared" si="48"/>
        <v>0</v>
      </c>
      <c r="AU12" s="54">
        <f t="shared" si="49"/>
        <v>0.15189999999999992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52">
        <f t="shared" si="39"/>
        <v>-2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0.78849999999999998</v>
      </c>
      <c r="AT13" s="14">
        <f t="shared" si="48"/>
        <v>0</v>
      </c>
      <c r="AU13" s="54">
        <f t="shared" si="49"/>
        <v>0.18149999999999999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67</v>
      </c>
      <c r="AD14" s="14">
        <f t="shared" si="40"/>
        <v>2.2333333333333334</v>
      </c>
      <c r="AE14" s="52">
        <f t="shared" si="41"/>
        <v>-37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0.84310000000000007</v>
      </c>
      <c r="AT14" s="14">
        <f t="shared" si="48"/>
        <v>0</v>
      </c>
      <c r="AU14" s="54">
        <f t="shared" si="49"/>
        <v>0.1268999999999999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7</v>
      </c>
      <c r="F15" s="14">
        <f t="shared" si="28"/>
        <v>1</v>
      </c>
      <c r="G15" s="52">
        <f t="shared" si="29"/>
        <v>0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52">
        <f t="shared" si="41"/>
        <v>-21</v>
      </c>
      <c r="AF15" s="57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52">
        <f t="shared" si="43"/>
        <v>3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0.73290000000000011</v>
      </c>
      <c r="AT15" s="14">
        <f t="shared" si="48"/>
        <v>0</v>
      </c>
      <c r="AU15" s="54">
        <f t="shared" si="49"/>
        <v>0.23709999999999987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8</v>
      </c>
      <c r="V16" s="14">
        <f t="shared" si="36"/>
        <v>2</v>
      </c>
      <c r="W16" s="50">
        <f t="shared" si="37"/>
        <v>-4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171</v>
      </c>
      <c r="AD16" s="14">
        <f t="shared" si="40"/>
        <v>2.85</v>
      </c>
      <c r="AE16" s="52">
        <f t="shared" si="41"/>
        <v>-111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0.81189999999999996</v>
      </c>
      <c r="AT16" s="14">
        <f t="shared" si="48"/>
        <v>0</v>
      </c>
      <c r="AU16" s="54">
        <f t="shared" si="49"/>
        <v>0.15810000000000002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503512937</v>
      </c>
      <c r="D19" s="142">
        <f ca="1">B19*0.968-C19</f>
        <v>119661134.25599992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1081173353</v>
      </c>
      <c r="C20" s="143">
        <f ca="1">SUMIF(cuoc!A8:P27,'tiến độ'!A20,cuoc!M8:M27)</f>
        <v>863741713</v>
      </c>
      <c r="D20" s="142">
        <f ca="1">B20*0.968-C20</f>
        <v>182834092.704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B1"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9" t="s">
        <v>267</v>
      </c>
      <c r="B1" s="240"/>
      <c r="C1" s="240"/>
      <c r="D1" s="240"/>
      <c r="E1" s="240"/>
      <c r="F1" s="240"/>
      <c r="G1" s="240"/>
      <c r="H1" s="240"/>
    </row>
    <row r="2" spans="1:111" x14ac:dyDescent="0.45">
      <c r="A2" s="241" t="s">
        <v>268</v>
      </c>
      <c r="B2" s="240"/>
      <c r="C2" s="240"/>
      <c r="D2" s="240"/>
      <c r="E2" s="240"/>
      <c r="F2" s="240"/>
      <c r="G2" s="240"/>
      <c r="H2" s="240"/>
    </row>
    <row r="3" spans="1:111" x14ac:dyDescent="0.45">
      <c r="A3" s="242" t="s">
        <v>269</v>
      </c>
      <c r="B3" s="240"/>
      <c r="C3" s="240"/>
      <c r="D3" s="240"/>
      <c r="E3" s="240"/>
      <c r="F3" s="240"/>
      <c r="G3" s="240"/>
      <c r="H3" s="240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6" t="s">
        <v>155</v>
      </c>
      <c r="I5" s="237"/>
      <c r="J5" s="237"/>
      <c r="K5" s="237"/>
      <c r="L5" s="237"/>
      <c r="M5" s="237"/>
      <c r="N5" s="237"/>
      <c r="O5" s="238"/>
      <c r="P5" s="236" t="s">
        <v>156</v>
      </c>
      <c r="Q5" s="237"/>
      <c r="R5" s="237"/>
      <c r="S5" s="237"/>
      <c r="T5" s="237"/>
      <c r="U5" s="237"/>
      <c r="V5" s="237"/>
      <c r="W5" s="238"/>
      <c r="X5" s="236" t="s">
        <v>157</v>
      </c>
      <c r="Y5" s="237"/>
      <c r="Z5" s="237"/>
      <c r="AA5" s="237"/>
      <c r="AB5" s="237"/>
      <c r="AC5" s="237"/>
      <c r="AD5" s="237"/>
      <c r="AE5" s="238"/>
      <c r="AF5" s="236" t="s">
        <v>158</v>
      </c>
      <c r="AG5" s="237"/>
      <c r="AH5" s="237"/>
      <c r="AI5" s="237"/>
      <c r="AJ5" s="237"/>
      <c r="AK5" s="237"/>
      <c r="AL5" s="237"/>
      <c r="AM5" s="238"/>
      <c r="AN5" s="236" t="s">
        <v>159</v>
      </c>
      <c r="AO5" s="237"/>
      <c r="AP5" s="237"/>
      <c r="AQ5" s="237"/>
      <c r="AR5" s="237"/>
      <c r="AS5" s="237"/>
      <c r="AT5" s="237"/>
      <c r="AU5" s="238"/>
      <c r="AV5" s="236" t="s">
        <v>160</v>
      </c>
      <c r="AW5" s="237"/>
      <c r="AX5" s="237"/>
      <c r="AY5" s="237"/>
      <c r="AZ5" s="237"/>
      <c r="BA5" s="237"/>
      <c r="BB5" s="237"/>
      <c r="BC5" s="238"/>
      <c r="BD5" s="236" t="s">
        <v>161</v>
      </c>
      <c r="BE5" s="237"/>
      <c r="BF5" s="237"/>
      <c r="BG5" s="237"/>
      <c r="BH5" s="237"/>
      <c r="BI5" s="237"/>
      <c r="BJ5" s="237"/>
      <c r="BK5" s="238"/>
      <c r="BL5" s="236" t="s">
        <v>162</v>
      </c>
      <c r="BM5" s="237"/>
      <c r="BN5" s="237"/>
      <c r="BO5" s="237"/>
      <c r="BP5" s="237"/>
      <c r="BQ5" s="237"/>
      <c r="BR5" s="237"/>
      <c r="BS5" s="238"/>
      <c r="BT5" s="236" t="s">
        <v>163</v>
      </c>
      <c r="BU5" s="237"/>
      <c r="BV5" s="237"/>
      <c r="BW5" s="237"/>
      <c r="BX5" s="237"/>
      <c r="BY5" s="237"/>
      <c r="BZ5" s="237"/>
      <c r="CA5" s="238"/>
      <c r="CB5" s="236" t="s">
        <v>164</v>
      </c>
      <c r="CC5" s="237"/>
      <c r="CD5" s="237"/>
      <c r="CE5" s="237"/>
      <c r="CF5" s="237"/>
      <c r="CG5" s="237"/>
      <c r="CH5" s="237"/>
      <c r="CI5" s="238"/>
      <c r="CJ5" s="236" t="s">
        <v>270</v>
      </c>
      <c r="CK5" s="237"/>
      <c r="CL5" s="237"/>
      <c r="CM5" s="237"/>
      <c r="CN5" s="237"/>
      <c r="CO5" s="237"/>
      <c r="CP5" s="237"/>
      <c r="CQ5" s="238"/>
      <c r="CR5" s="236" t="s">
        <v>165</v>
      </c>
      <c r="CS5" s="237"/>
      <c r="CT5" s="237"/>
      <c r="CU5" s="237"/>
      <c r="CV5" s="237"/>
      <c r="CW5" s="237"/>
      <c r="CX5" s="237"/>
      <c r="CY5" s="238"/>
      <c r="CZ5" s="236" t="s">
        <v>166</v>
      </c>
      <c r="DA5" s="237"/>
      <c r="DB5" s="237"/>
      <c r="DC5" s="237"/>
      <c r="DD5" s="237"/>
      <c r="DE5" s="237"/>
      <c r="DF5" s="237"/>
      <c r="DG5" s="238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96" t="s">
        <v>69</v>
      </c>
      <c r="F7" s="196" t="s">
        <v>178</v>
      </c>
      <c r="G7" s="196" t="s">
        <v>179</v>
      </c>
      <c r="H7" s="197">
        <v>6</v>
      </c>
      <c r="I7" s="197">
        <v>7</v>
      </c>
      <c r="J7" s="197">
        <v>0</v>
      </c>
      <c r="K7" s="197">
        <v>12</v>
      </c>
      <c r="L7" s="197">
        <v>208.7</v>
      </c>
      <c r="M7" s="197">
        <v>171.43</v>
      </c>
      <c r="N7" s="197">
        <v>0</v>
      </c>
      <c r="O7" s="197">
        <v>100</v>
      </c>
      <c r="P7" s="197">
        <v>3</v>
      </c>
      <c r="Q7" s="197">
        <v>4</v>
      </c>
      <c r="R7" s="197">
        <v>0</v>
      </c>
      <c r="S7" s="197">
        <v>6</v>
      </c>
      <c r="T7" s="197">
        <v>182.61</v>
      </c>
      <c r="U7" s="197">
        <v>150</v>
      </c>
      <c r="V7" s="197">
        <v>0</v>
      </c>
      <c r="W7" s="197">
        <v>100</v>
      </c>
      <c r="X7" s="197">
        <v>2</v>
      </c>
      <c r="Y7" s="197">
        <v>2</v>
      </c>
      <c r="Z7" s="197">
        <v>0</v>
      </c>
      <c r="AA7" s="197">
        <v>0</v>
      </c>
      <c r="AB7" s="197">
        <v>0</v>
      </c>
      <c r="AC7" s="197">
        <v>0</v>
      </c>
      <c r="AD7" s="197">
        <v>0</v>
      </c>
      <c r="AE7" s="197">
        <v>100</v>
      </c>
      <c r="AF7" s="197">
        <v>3</v>
      </c>
      <c r="AG7" s="197">
        <v>4</v>
      </c>
      <c r="AH7" s="197">
        <v>0</v>
      </c>
      <c r="AI7" s="197">
        <v>1</v>
      </c>
      <c r="AJ7" s="197">
        <v>169.57</v>
      </c>
      <c r="AK7" s="197">
        <v>175</v>
      </c>
      <c r="AL7" s="197">
        <v>0</v>
      </c>
      <c r="AM7" s="197">
        <v>100</v>
      </c>
      <c r="AN7" s="197">
        <v>3</v>
      </c>
      <c r="AO7" s="197">
        <v>4</v>
      </c>
      <c r="AP7" s="197">
        <v>0</v>
      </c>
      <c r="AQ7" s="197">
        <v>0</v>
      </c>
      <c r="AR7" s="197">
        <v>0</v>
      </c>
      <c r="AS7" s="197">
        <v>0</v>
      </c>
      <c r="AT7" s="197">
        <v>0</v>
      </c>
      <c r="AU7" s="197">
        <v>100</v>
      </c>
      <c r="AV7" s="197">
        <v>29</v>
      </c>
      <c r="AW7" s="197">
        <v>35</v>
      </c>
      <c r="AX7" s="197">
        <v>0</v>
      </c>
      <c r="AY7" s="197">
        <v>37</v>
      </c>
      <c r="AZ7" s="197">
        <v>128.69999999999999</v>
      </c>
      <c r="BA7" s="197">
        <v>105.71</v>
      </c>
      <c r="BB7" s="197">
        <v>0</v>
      </c>
      <c r="BC7" s="197">
        <v>100</v>
      </c>
      <c r="BD7" s="197">
        <v>4</v>
      </c>
      <c r="BE7" s="197">
        <v>5</v>
      </c>
      <c r="BF7" s="197">
        <v>1</v>
      </c>
      <c r="BG7" s="197">
        <v>4</v>
      </c>
      <c r="BH7" s="197">
        <v>97.39</v>
      </c>
      <c r="BI7" s="197">
        <v>80</v>
      </c>
      <c r="BJ7" s="197">
        <v>0</v>
      </c>
      <c r="BK7" s="197">
        <v>100</v>
      </c>
      <c r="BL7" s="197">
        <v>0</v>
      </c>
      <c r="BM7" s="197">
        <v>0</v>
      </c>
      <c r="BN7" s="197">
        <v>0</v>
      </c>
      <c r="BO7" s="197">
        <v>0</v>
      </c>
      <c r="BP7" s="197">
        <v>100</v>
      </c>
      <c r="BQ7" s="197">
        <v>100</v>
      </c>
      <c r="BR7" s="197">
        <v>0</v>
      </c>
      <c r="BS7" s="197">
        <v>100</v>
      </c>
      <c r="BT7" s="197">
        <v>1</v>
      </c>
      <c r="BU7" s="197">
        <v>1</v>
      </c>
      <c r="BV7" s="197">
        <v>1</v>
      </c>
      <c r="BW7" s="197">
        <v>1</v>
      </c>
      <c r="BX7" s="197">
        <v>121.74</v>
      </c>
      <c r="BY7" s="197">
        <v>100</v>
      </c>
      <c r="BZ7" s="197">
        <v>0</v>
      </c>
      <c r="CA7" s="197">
        <v>100</v>
      </c>
      <c r="CB7" s="197">
        <v>7</v>
      </c>
      <c r="CC7" s="197">
        <v>8</v>
      </c>
      <c r="CD7" s="197">
        <v>0</v>
      </c>
      <c r="CE7" s="197">
        <v>5</v>
      </c>
      <c r="CF7" s="197">
        <v>76.09</v>
      </c>
      <c r="CG7" s="197">
        <v>62.5</v>
      </c>
      <c r="CH7" s="197">
        <v>0</v>
      </c>
      <c r="CI7" s="197">
        <v>100</v>
      </c>
      <c r="CJ7" s="197">
        <v>3</v>
      </c>
      <c r="CK7" s="197">
        <v>4</v>
      </c>
      <c r="CL7" s="197">
        <v>0</v>
      </c>
      <c r="CM7" s="197">
        <v>9</v>
      </c>
      <c r="CN7" s="197">
        <v>273.91000000000003</v>
      </c>
      <c r="CO7" s="197">
        <v>225</v>
      </c>
      <c r="CP7" s="197">
        <v>0</v>
      </c>
      <c r="CQ7" s="197">
        <v>100</v>
      </c>
      <c r="CR7" s="197">
        <v>3</v>
      </c>
      <c r="CS7" s="197">
        <v>4</v>
      </c>
      <c r="CT7" s="197">
        <v>0</v>
      </c>
      <c r="CU7" s="197">
        <v>5</v>
      </c>
      <c r="CV7" s="197">
        <v>152.16999999999999</v>
      </c>
      <c r="CW7" s="197">
        <v>125</v>
      </c>
      <c r="CX7" s="197">
        <v>0</v>
      </c>
      <c r="CY7" s="197">
        <v>100</v>
      </c>
      <c r="CZ7" s="197">
        <v>1</v>
      </c>
      <c r="DA7" s="197">
        <v>1</v>
      </c>
      <c r="DB7" s="197">
        <v>0</v>
      </c>
      <c r="DC7" s="197">
        <v>6</v>
      </c>
      <c r="DD7" s="197">
        <v>730.43</v>
      </c>
      <c r="DE7" s="197">
        <v>600</v>
      </c>
      <c r="DF7" s="197">
        <v>1</v>
      </c>
      <c r="DG7" s="197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96" t="s">
        <v>72</v>
      </c>
      <c r="F8" s="196" t="s">
        <v>180</v>
      </c>
      <c r="G8" s="196" t="s">
        <v>129</v>
      </c>
      <c r="H8" s="197">
        <v>6</v>
      </c>
      <c r="I8" s="197">
        <v>7</v>
      </c>
      <c r="J8" s="197">
        <v>0</v>
      </c>
      <c r="K8" s="197">
        <v>13</v>
      </c>
      <c r="L8" s="197">
        <v>226.09</v>
      </c>
      <c r="M8" s="197">
        <v>185.71</v>
      </c>
      <c r="N8" s="197">
        <v>0</v>
      </c>
      <c r="O8" s="197">
        <v>100</v>
      </c>
      <c r="P8" s="197">
        <v>3</v>
      </c>
      <c r="Q8" s="197">
        <v>4</v>
      </c>
      <c r="R8" s="197">
        <v>0</v>
      </c>
      <c r="S8" s="197">
        <v>4</v>
      </c>
      <c r="T8" s="197">
        <v>121.74</v>
      </c>
      <c r="U8" s="197">
        <v>100</v>
      </c>
      <c r="V8" s="197">
        <v>0</v>
      </c>
      <c r="W8" s="197">
        <v>100</v>
      </c>
      <c r="X8" s="197">
        <v>2</v>
      </c>
      <c r="Y8" s="197">
        <v>3</v>
      </c>
      <c r="Z8" s="197">
        <v>0</v>
      </c>
      <c r="AA8" s="197">
        <v>0</v>
      </c>
      <c r="AB8" s="197">
        <v>0</v>
      </c>
      <c r="AC8" s="197">
        <v>0</v>
      </c>
      <c r="AD8" s="197">
        <v>0</v>
      </c>
      <c r="AE8" s="197">
        <v>100</v>
      </c>
      <c r="AF8" s="197">
        <v>4</v>
      </c>
      <c r="AG8" s="197">
        <v>5</v>
      </c>
      <c r="AH8" s="197">
        <v>0</v>
      </c>
      <c r="AI8" s="197">
        <v>2</v>
      </c>
      <c r="AJ8" s="197">
        <v>151.30000000000001</v>
      </c>
      <c r="AK8" s="197">
        <v>160</v>
      </c>
      <c r="AL8" s="197">
        <v>5</v>
      </c>
      <c r="AM8" s="197">
        <v>-60</v>
      </c>
      <c r="AN8" s="197">
        <v>3</v>
      </c>
      <c r="AO8" s="197">
        <v>4</v>
      </c>
      <c r="AP8" s="197">
        <v>0</v>
      </c>
      <c r="AQ8" s="197">
        <v>0</v>
      </c>
      <c r="AR8" s="197">
        <v>0</v>
      </c>
      <c r="AS8" s="197">
        <v>0</v>
      </c>
      <c r="AT8" s="197">
        <v>0</v>
      </c>
      <c r="AU8" s="197">
        <v>100</v>
      </c>
      <c r="AV8" s="197">
        <v>25</v>
      </c>
      <c r="AW8" s="197">
        <v>30</v>
      </c>
      <c r="AX8" s="197">
        <v>0</v>
      </c>
      <c r="AY8" s="197">
        <v>71</v>
      </c>
      <c r="AZ8" s="197">
        <v>288.12</v>
      </c>
      <c r="BA8" s="197">
        <v>236.67</v>
      </c>
      <c r="BB8" s="197">
        <v>3</v>
      </c>
      <c r="BC8" s="197">
        <v>2266.67</v>
      </c>
      <c r="BD8" s="197">
        <v>4</v>
      </c>
      <c r="BE8" s="197">
        <v>5</v>
      </c>
      <c r="BF8" s="197">
        <v>1</v>
      </c>
      <c r="BG8" s="197">
        <v>5</v>
      </c>
      <c r="BH8" s="197">
        <v>121.74</v>
      </c>
      <c r="BI8" s="197">
        <v>100</v>
      </c>
      <c r="BJ8" s="197">
        <v>0</v>
      </c>
      <c r="BK8" s="197">
        <v>100</v>
      </c>
      <c r="BL8" s="197">
        <v>1</v>
      </c>
      <c r="BM8" s="197">
        <v>1</v>
      </c>
      <c r="BN8" s="197">
        <v>0</v>
      </c>
      <c r="BO8" s="197">
        <v>0</v>
      </c>
      <c r="BP8" s="197">
        <v>0</v>
      </c>
      <c r="BQ8" s="197">
        <v>0</v>
      </c>
      <c r="BR8" s="197">
        <v>0</v>
      </c>
      <c r="BS8" s="197">
        <v>100</v>
      </c>
      <c r="BT8" s="197">
        <v>1</v>
      </c>
      <c r="BU8" s="197">
        <v>1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100</v>
      </c>
      <c r="CB8" s="197">
        <v>7</v>
      </c>
      <c r="CC8" s="197">
        <v>8</v>
      </c>
      <c r="CD8" s="197">
        <v>0</v>
      </c>
      <c r="CE8" s="197">
        <v>10</v>
      </c>
      <c r="CF8" s="197">
        <v>152.16999999999999</v>
      </c>
      <c r="CG8" s="197">
        <v>125</v>
      </c>
      <c r="CH8" s="197">
        <v>0</v>
      </c>
      <c r="CI8" s="197">
        <v>100</v>
      </c>
      <c r="CJ8" s="197">
        <v>3</v>
      </c>
      <c r="CK8" s="197">
        <v>4</v>
      </c>
      <c r="CL8" s="197">
        <v>0</v>
      </c>
      <c r="CM8" s="197">
        <v>7</v>
      </c>
      <c r="CN8" s="197">
        <v>213.04</v>
      </c>
      <c r="CO8" s="197">
        <v>175</v>
      </c>
      <c r="CP8" s="197">
        <v>0</v>
      </c>
      <c r="CQ8" s="197">
        <v>100</v>
      </c>
      <c r="CR8" s="197">
        <v>3</v>
      </c>
      <c r="CS8" s="197">
        <v>4</v>
      </c>
      <c r="CT8" s="197">
        <v>0</v>
      </c>
      <c r="CU8" s="197">
        <v>4</v>
      </c>
      <c r="CV8" s="197">
        <v>121.74</v>
      </c>
      <c r="CW8" s="197">
        <v>100</v>
      </c>
      <c r="CX8" s="197">
        <v>1</v>
      </c>
      <c r="CY8" s="197">
        <v>300</v>
      </c>
      <c r="CZ8" s="197">
        <v>1</v>
      </c>
      <c r="DA8" s="197">
        <v>1</v>
      </c>
      <c r="DB8" s="197">
        <v>0</v>
      </c>
      <c r="DC8" s="197">
        <v>6</v>
      </c>
      <c r="DD8" s="197">
        <v>730.43</v>
      </c>
      <c r="DE8" s="197">
        <v>600</v>
      </c>
      <c r="DF8" s="197">
        <v>0</v>
      </c>
      <c r="DG8" s="197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96" t="s">
        <v>75</v>
      </c>
      <c r="F9" s="196" t="s">
        <v>181</v>
      </c>
      <c r="G9" s="196" t="s">
        <v>129</v>
      </c>
      <c r="H9" s="197">
        <v>6</v>
      </c>
      <c r="I9" s="197">
        <v>7</v>
      </c>
      <c r="J9" s="197">
        <v>0</v>
      </c>
      <c r="K9" s="197">
        <v>12</v>
      </c>
      <c r="L9" s="197">
        <v>208.7</v>
      </c>
      <c r="M9" s="197">
        <v>171.43</v>
      </c>
      <c r="N9" s="197">
        <v>0</v>
      </c>
      <c r="O9" s="197">
        <v>100</v>
      </c>
      <c r="P9" s="197">
        <v>3</v>
      </c>
      <c r="Q9" s="197">
        <v>4</v>
      </c>
      <c r="R9" s="197">
        <v>0</v>
      </c>
      <c r="S9" s="197">
        <v>4</v>
      </c>
      <c r="T9" s="197">
        <v>121.74</v>
      </c>
      <c r="U9" s="197">
        <v>100</v>
      </c>
      <c r="V9" s="197">
        <v>0</v>
      </c>
      <c r="W9" s="197">
        <v>100</v>
      </c>
      <c r="X9" s="197">
        <v>2</v>
      </c>
      <c r="Y9" s="197">
        <v>3</v>
      </c>
      <c r="Z9" s="197">
        <v>0</v>
      </c>
      <c r="AA9" s="197">
        <v>1</v>
      </c>
      <c r="AB9" s="197">
        <v>40.58</v>
      </c>
      <c r="AC9" s="197">
        <v>33.33</v>
      </c>
      <c r="AD9" s="197">
        <v>1</v>
      </c>
      <c r="AE9" s="197">
        <v>0</v>
      </c>
      <c r="AF9" s="197">
        <v>4</v>
      </c>
      <c r="AG9" s="197">
        <v>5</v>
      </c>
      <c r="AH9" s="197">
        <v>0</v>
      </c>
      <c r="AI9" s="197">
        <v>0</v>
      </c>
      <c r="AJ9" s="197">
        <v>200</v>
      </c>
      <c r="AK9" s="197">
        <v>200</v>
      </c>
      <c r="AL9" s="197">
        <v>1</v>
      </c>
      <c r="AM9" s="197">
        <v>-100</v>
      </c>
      <c r="AN9" s="197">
        <v>3</v>
      </c>
      <c r="AO9" s="197">
        <v>4</v>
      </c>
      <c r="AP9" s="197">
        <v>0</v>
      </c>
      <c r="AQ9" s="197">
        <v>0</v>
      </c>
      <c r="AR9" s="197">
        <v>0</v>
      </c>
      <c r="AS9" s="197">
        <v>0</v>
      </c>
      <c r="AT9" s="197">
        <v>0</v>
      </c>
      <c r="AU9" s="197">
        <v>100</v>
      </c>
      <c r="AV9" s="197">
        <v>25</v>
      </c>
      <c r="AW9" s="197">
        <v>30</v>
      </c>
      <c r="AX9" s="197">
        <v>0</v>
      </c>
      <c r="AY9" s="197">
        <v>27</v>
      </c>
      <c r="AZ9" s="197">
        <v>109.57</v>
      </c>
      <c r="BA9" s="197">
        <v>90</v>
      </c>
      <c r="BB9" s="197">
        <v>0</v>
      </c>
      <c r="BC9" s="197">
        <v>100</v>
      </c>
      <c r="BD9" s="197">
        <v>4</v>
      </c>
      <c r="BE9" s="197">
        <v>5</v>
      </c>
      <c r="BF9" s="197">
        <v>1</v>
      </c>
      <c r="BG9" s="197">
        <v>5</v>
      </c>
      <c r="BH9" s="197">
        <v>121.74</v>
      </c>
      <c r="BI9" s="197">
        <v>100</v>
      </c>
      <c r="BJ9" s="197">
        <v>0</v>
      </c>
      <c r="BK9" s="197">
        <v>100</v>
      </c>
      <c r="BL9" s="197">
        <v>0</v>
      </c>
      <c r="BM9" s="197">
        <v>0</v>
      </c>
      <c r="BN9" s="197">
        <v>0</v>
      </c>
      <c r="BO9" s="197">
        <v>0</v>
      </c>
      <c r="BP9" s="197">
        <v>100</v>
      </c>
      <c r="BQ9" s="197">
        <v>100</v>
      </c>
      <c r="BR9" s="197">
        <v>0</v>
      </c>
      <c r="BS9" s="197">
        <v>100</v>
      </c>
      <c r="BT9" s="197">
        <v>1</v>
      </c>
      <c r="BU9" s="197">
        <v>1</v>
      </c>
      <c r="BV9" s="197">
        <v>0</v>
      </c>
      <c r="BW9" s="197">
        <v>0</v>
      </c>
      <c r="BX9" s="197">
        <v>0</v>
      </c>
      <c r="BY9" s="197">
        <v>0</v>
      </c>
      <c r="BZ9" s="197">
        <v>0</v>
      </c>
      <c r="CA9" s="197">
        <v>100</v>
      </c>
      <c r="CB9" s="197">
        <v>7</v>
      </c>
      <c r="CC9" s="197">
        <v>8</v>
      </c>
      <c r="CD9" s="197">
        <v>0</v>
      </c>
      <c r="CE9" s="197">
        <v>12</v>
      </c>
      <c r="CF9" s="197">
        <v>182.61</v>
      </c>
      <c r="CG9" s="197">
        <v>150</v>
      </c>
      <c r="CH9" s="197">
        <v>0</v>
      </c>
      <c r="CI9" s="197">
        <v>100</v>
      </c>
      <c r="CJ9" s="197">
        <v>3</v>
      </c>
      <c r="CK9" s="197">
        <v>4</v>
      </c>
      <c r="CL9" s="197">
        <v>0</v>
      </c>
      <c r="CM9" s="197">
        <v>3</v>
      </c>
      <c r="CN9" s="197">
        <v>91.3</v>
      </c>
      <c r="CO9" s="197">
        <v>75</v>
      </c>
      <c r="CP9" s="197">
        <v>0</v>
      </c>
      <c r="CQ9" s="197">
        <v>100</v>
      </c>
      <c r="CR9" s="197">
        <v>2</v>
      </c>
      <c r="CS9" s="197">
        <v>3</v>
      </c>
      <c r="CT9" s="197">
        <v>0</v>
      </c>
      <c r="CU9" s="197">
        <v>5</v>
      </c>
      <c r="CV9" s="197">
        <v>202.9</v>
      </c>
      <c r="CW9" s="197">
        <v>166.67</v>
      </c>
      <c r="CX9" s="197">
        <v>0</v>
      </c>
      <c r="CY9" s="197">
        <v>100</v>
      </c>
      <c r="CZ9" s="197">
        <v>1</v>
      </c>
      <c r="DA9" s="197">
        <v>1</v>
      </c>
      <c r="DB9" s="197">
        <v>0</v>
      </c>
      <c r="DC9" s="197">
        <v>2</v>
      </c>
      <c r="DD9" s="197">
        <v>243.48</v>
      </c>
      <c r="DE9" s="197">
        <v>200</v>
      </c>
      <c r="DF9" s="197">
        <v>0</v>
      </c>
      <c r="DG9" s="197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96" t="s">
        <v>78</v>
      </c>
      <c r="F10" s="196" t="s">
        <v>182</v>
      </c>
      <c r="G10" s="196" t="s">
        <v>129</v>
      </c>
      <c r="H10" s="197">
        <v>6</v>
      </c>
      <c r="I10" s="197">
        <v>7</v>
      </c>
      <c r="J10" s="197">
        <v>0</v>
      </c>
      <c r="K10" s="197">
        <v>5</v>
      </c>
      <c r="L10" s="197">
        <v>86.96</v>
      </c>
      <c r="M10" s="197">
        <v>71.430000000000007</v>
      </c>
      <c r="N10" s="197">
        <v>0</v>
      </c>
      <c r="O10" s="197">
        <v>100</v>
      </c>
      <c r="P10" s="197">
        <v>2</v>
      </c>
      <c r="Q10" s="197">
        <v>3</v>
      </c>
      <c r="R10" s="197">
        <v>0</v>
      </c>
      <c r="S10" s="197">
        <v>4</v>
      </c>
      <c r="T10" s="197">
        <v>162.32</v>
      </c>
      <c r="U10" s="197">
        <v>133.33000000000001</v>
      </c>
      <c r="V10" s="197">
        <v>0</v>
      </c>
      <c r="W10" s="197">
        <v>100</v>
      </c>
      <c r="X10" s="197">
        <v>1</v>
      </c>
      <c r="Y10" s="197">
        <v>1</v>
      </c>
      <c r="Z10" s="197">
        <v>0</v>
      </c>
      <c r="AA10" s="197">
        <v>0</v>
      </c>
      <c r="AB10" s="197">
        <v>0</v>
      </c>
      <c r="AC10" s="197">
        <v>0</v>
      </c>
      <c r="AD10" s="197">
        <v>1</v>
      </c>
      <c r="AE10" s="197">
        <v>-100</v>
      </c>
      <c r="AF10" s="197">
        <v>2</v>
      </c>
      <c r="AG10" s="197">
        <v>3</v>
      </c>
      <c r="AH10" s="197">
        <v>0</v>
      </c>
      <c r="AI10" s="197">
        <v>1</v>
      </c>
      <c r="AJ10" s="197">
        <v>159.41999999999999</v>
      </c>
      <c r="AK10" s="197">
        <v>166.67</v>
      </c>
      <c r="AL10" s="197">
        <v>0</v>
      </c>
      <c r="AM10" s="197">
        <v>100</v>
      </c>
      <c r="AN10" s="197">
        <v>3</v>
      </c>
      <c r="AO10" s="197">
        <v>4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100</v>
      </c>
      <c r="AV10" s="197">
        <v>25</v>
      </c>
      <c r="AW10" s="197">
        <v>30</v>
      </c>
      <c r="AX10" s="197">
        <v>0</v>
      </c>
      <c r="AY10" s="197">
        <v>9</v>
      </c>
      <c r="AZ10" s="197">
        <v>36.520000000000003</v>
      </c>
      <c r="BA10" s="197">
        <v>30</v>
      </c>
      <c r="BB10" s="197">
        <v>3</v>
      </c>
      <c r="BC10" s="197">
        <v>200</v>
      </c>
      <c r="BD10" s="197">
        <v>3</v>
      </c>
      <c r="BE10" s="197">
        <v>4</v>
      </c>
      <c r="BF10" s="197">
        <v>0</v>
      </c>
      <c r="BG10" s="197">
        <v>2</v>
      </c>
      <c r="BH10" s="197">
        <v>60.87</v>
      </c>
      <c r="BI10" s="197">
        <v>50</v>
      </c>
      <c r="BJ10" s="197">
        <v>0</v>
      </c>
      <c r="BK10" s="197">
        <v>100</v>
      </c>
      <c r="BL10" s="197">
        <v>0</v>
      </c>
      <c r="BM10" s="197">
        <v>0</v>
      </c>
      <c r="BN10" s="197">
        <v>0</v>
      </c>
      <c r="BO10" s="197">
        <v>0</v>
      </c>
      <c r="BP10" s="197">
        <v>100</v>
      </c>
      <c r="BQ10" s="197">
        <v>100</v>
      </c>
      <c r="BR10" s="197">
        <v>0</v>
      </c>
      <c r="BS10" s="197">
        <v>100</v>
      </c>
      <c r="BT10" s="197">
        <v>1</v>
      </c>
      <c r="BU10" s="197">
        <v>1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100</v>
      </c>
      <c r="CB10" s="197">
        <v>7</v>
      </c>
      <c r="CC10" s="197">
        <v>8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100</v>
      </c>
      <c r="CJ10" s="197">
        <v>3</v>
      </c>
      <c r="CK10" s="197">
        <v>4</v>
      </c>
      <c r="CL10" s="197">
        <v>0</v>
      </c>
      <c r="CM10" s="197">
        <v>3</v>
      </c>
      <c r="CN10" s="197">
        <v>91.3</v>
      </c>
      <c r="CO10" s="197">
        <v>75</v>
      </c>
      <c r="CP10" s="197">
        <v>0</v>
      </c>
      <c r="CQ10" s="197">
        <v>100</v>
      </c>
      <c r="CR10" s="197">
        <v>2</v>
      </c>
      <c r="CS10" s="197">
        <v>3</v>
      </c>
      <c r="CT10" s="197">
        <v>0</v>
      </c>
      <c r="CU10" s="197">
        <v>0</v>
      </c>
      <c r="CV10" s="197">
        <v>0</v>
      </c>
      <c r="CW10" s="197">
        <v>0</v>
      </c>
      <c r="CX10" s="197">
        <v>0</v>
      </c>
      <c r="CY10" s="197">
        <v>100</v>
      </c>
      <c r="CZ10" s="197">
        <v>1</v>
      </c>
      <c r="DA10" s="197">
        <v>1</v>
      </c>
      <c r="DB10" s="197">
        <v>0</v>
      </c>
      <c r="DC10" s="197">
        <v>0</v>
      </c>
      <c r="DD10" s="197">
        <v>0</v>
      </c>
      <c r="DE10" s="197">
        <v>0</v>
      </c>
      <c r="DF10" s="197">
        <v>1</v>
      </c>
      <c r="DG10" s="197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96" t="s">
        <v>81</v>
      </c>
      <c r="F11" s="196" t="s">
        <v>183</v>
      </c>
      <c r="G11" s="196" t="s">
        <v>179</v>
      </c>
      <c r="H11" s="197">
        <v>6</v>
      </c>
      <c r="I11" s="197">
        <v>7</v>
      </c>
      <c r="J11" s="197">
        <v>0</v>
      </c>
      <c r="K11" s="197">
        <v>8</v>
      </c>
      <c r="L11" s="197">
        <v>139.13</v>
      </c>
      <c r="M11" s="197">
        <v>114.29</v>
      </c>
      <c r="N11" s="197">
        <v>0</v>
      </c>
      <c r="O11" s="197">
        <v>100</v>
      </c>
      <c r="P11" s="197">
        <v>3</v>
      </c>
      <c r="Q11" s="197">
        <v>4</v>
      </c>
      <c r="R11" s="197">
        <v>0</v>
      </c>
      <c r="S11" s="197">
        <v>4</v>
      </c>
      <c r="T11" s="197">
        <v>121.74</v>
      </c>
      <c r="U11" s="197">
        <v>100</v>
      </c>
      <c r="V11" s="197">
        <v>0</v>
      </c>
      <c r="W11" s="197">
        <v>100</v>
      </c>
      <c r="X11" s="197">
        <v>2</v>
      </c>
      <c r="Y11" s="197">
        <v>2</v>
      </c>
      <c r="Z11" s="197">
        <v>0</v>
      </c>
      <c r="AA11" s="197">
        <v>0</v>
      </c>
      <c r="AB11" s="197">
        <v>0</v>
      </c>
      <c r="AC11" s="197">
        <v>0</v>
      </c>
      <c r="AD11" s="197">
        <v>0</v>
      </c>
      <c r="AE11" s="197">
        <v>100</v>
      </c>
      <c r="AF11" s="197">
        <v>3</v>
      </c>
      <c r="AG11" s="197">
        <v>4</v>
      </c>
      <c r="AH11" s="197">
        <v>0</v>
      </c>
      <c r="AI11" s="197">
        <v>2</v>
      </c>
      <c r="AJ11" s="197">
        <v>139.13</v>
      </c>
      <c r="AK11" s="197">
        <v>150</v>
      </c>
      <c r="AL11" s="197">
        <v>2</v>
      </c>
      <c r="AM11" s="197">
        <v>0</v>
      </c>
      <c r="AN11" s="197">
        <v>2</v>
      </c>
      <c r="AO11" s="197">
        <v>3</v>
      </c>
      <c r="AP11" s="197">
        <v>0</v>
      </c>
      <c r="AQ11" s="197">
        <v>0</v>
      </c>
      <c r="AR11" s="197">
        <v>0</v>
      </c>
      <c r="AS11" s="197">
        <v>0</v>
      </c>
      <c r="AT11" s="197">
        <v>0</v>
      </c>
      <c r="AU11" s="197">
        <v>100</v>
      </c>
      <c r="AV11" s="197">
        <v>33</v>
      </c>
      <c r="AW11" s="197">
        <v>40</v>
      </c>
      <c r="AX11" s="197">
        <v>0</v>
      </c>
      <c r="AY11" s="197">
        <v>85</v>
      </c>
      <c r="AZ11" s="197">
        <v>258.7</v>
      </c>
      <c r="BA11" s="197">
        <v>212.5</v>
      </c>
      <c r="BB11" s="197">
        <v>1</v>
      </c>
      <c r="BC11" s="197">
        <v>8400</v>
      </c>
      <c r="BD11" s="197">
        <v>4</v>
      </c>
      <c r="BE11" s="197">
        <v>5</v>
      </c>
      <c r="BF11" s="197">
        <v>1</v>
      </c>
      <c r="BG11" s="197">
        <v>4</v>
      </c>
      <c r="BH11" s="197">
        <v>97.39</v>
      </c>
      <c r="BI11" s="197">
        <v>80</v>
      </c>
      <c r="BJ11" s="197">
        <v>0</v>
      </c>
      <c r="BK11" s="197">
        <v>100</v>
      </c>
      <c r="BL11" s="197">
        <v>0</v>
      </c>
      <c r="BM11" s="197">
        <v>0</v>
      </c>
      <c r="BN11" s="197">
        <v>0</v>
      </c>
      <c r="BO11" s="197">
        <v>0</v>
      </c>
      <c r="BP11" s="197">
        <v>100</v>
      </c>
      <c r="BQ11" s="197">
        <v>100</v>
      </c>
      <c r="BR11" s="197">
        <v>0</v>
      </c>
      <c r="BS11" s="197">
        <v>100</v>
      </c>
      <c r="BT11" s="197">
        <v>1</v>
      </c>
      <c r="BU11" s="197">
        <v>1</v>
      </c>
      <c r="BV11" s="197">
        <v>0</v>
      </c>
      <c r="BW11" s="197">
        <v>1</v>
      </c>
      <c r="BX11" s="197">
        <v>121.74</v>
      </c>
      <c r="BY11" s="197">
        <v>100</v>
      </c>
      <c r="BZ11" s="197">
        <v>0</v>
      </c>
      <c r="CA11" s="197">
        <v>100</v>
      </c>
      <c r="CB11" s="197">
        <v>7</v>
      </c>
      <c r="CC11" s="197">
        <v>8</v>
      </c>
      <c r="CD11" s="197">
        <v>0</v>
      </c>
      <c r="CE11" s="197">
        <v>7</v>
      </c>
      <c r="CF11" s="197">
        <v>106.52</v>
      </c>
      <c r="CG11" s="197">
        <v>87.5</v>
      </c>
      <c r="CH11" s="197">
        <v>0</v>
      </c>
      <c r="CI11" s="197">
        <v>100</v>
      </c>
      <c r="CJ11" s="197">
        <v>3</v>
      </c>
      <c r="CK11" s="197">
        <v>4</v>
      </c>
      <c r="CL11" s="197">
        <v>0</v>
      </c>
      <c r="CM11" s="197">
        <v>3</v>
      </c>
      <c r="CN11" s="197">
        <v>91.3</v>
      </c>
      <c r="CO11" s="197">
        <v>75</v>
      </c>
      <c r="CP11" s="197">
        <v>0</v>
      </c>
      <c r="CQ11" s="197">
        <v>100</v>
      </c>
      <c r="CR11" s="197">
        <v>3</v>
      </c>
      <c r="CS11" s="197">
        <v>4</v>
      </c>
      <c r="CT11" s="197">
        <v>0</v>
      </c>
      <c r="CU11" s="197">
        <v>3</v>
      </c>
      <c r="CV11" s="197">
        <v>91.3</v>
      </c>
      <c r="CW11" s="197">
        <v>75</v>
      </c>
      <c r="CX11" s="197">
        <v>1</v>
      </c>
      <c r="CY11" s="197">
        <v>200</v>
      </c>
      <c r="CZ11" s="197">
        <v>1</v>
      </c>
      <c r="DA11" s="197">
        <v>1</v>
      </c>
      <c r="DB11" s="197">
        <v>0</v>
      </c>
      <c r="DC11" s="197">
        <v>9</v>
      </c>
      <c r="DD11" s="197">
        <v>1095.6500000000001</v>
      </c>
      <c r="DE11" s="197">
        <v>900</v>
      </c>
      <c r="DF11" s="197">
        <v>1</v>
      </c>
      <c r="DG11" s="197">
        <v>800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96" t="s">
        <v>84</v>
      </c>
      <c r="F12" s="196" t="s">
        <v>184</v>
      </c>
      <c r="G12" s="196" t="s">
        <v>129</v>
      </c>
      <c r="H12" s="197">
        <v>6</v>
      </c>
      <c r="I12" s="197">
        <v>7</v>
      </c>
      <c r="J12" s="197">
        <v>0</v>
      </c>
      <c r="K12" s="197">
        <v>5</v>
      </c>
      <c r="L12" s="197">
        <v>86.96</v>
      </c>
      <c r="M12" s="197">
        <v>71.430000000000007</v>
      </c>
      <c r="N12" s="197">
        <v>0</v>
      </c>
      <c r="O12" s="197">
        <v>100</v>
      </c>
      <c r="P12" s="197">
        <v>2</v>
      </c>
      <c r="Q12" s="197">
        <v>3</v>
      </c>
      <c r="R12" s="197">
        <v>0</v>
      </c>
      <c r="S12" s="197">
        <v>2</v>
      </c>
      <c r="T12" s="197">
        <v>81.16</v>
      </c>
      <c r="U12" s="197">
        <v>66.67</v>
      </c>
      <c r="V12" s="197">
        <v>0</v>
      </c>
      <c r="W12" s="197">
        <v>100</v>
      </c>
      <c r="X12" s="197">
        <v>1</v>
      </c>
      <c r="Y12" s="197">
        <v>1</v>
      </c>
      <c r="Z12" s="197">
        <v>0</v>
      </c>
      <c r="AA12" s="197">
        <v>0</v>
      </c>
      <c r="AB12" s="197">
        <v>0</v>
      </c>
      <c r="AC12" s="197">
        <v>0</v>
      </c>
      <c r="AD12" s="197">
        <v>0</v>
      </c>
      <c r="AE12" s="197">
        <v>100</v>
      </c>
      <c r="AF12" s="197">
        <v>3</v>
      </c>
      <c r="AG12" s="197">
        <v>4</v>
      </c>
      <c r="AH12" s="197">
        <v>0</v>
      </c>
      <c r="AI12" s="197">
        <v>0</v>
      </c>
      <c r="AJ12" s="197">
        <v>200</v>
      </c>
      <c r="AK12" s="197">
        <v>200</v>
      </c>
      <c r="AL12" s="197">
        <v>3</v>
      </c>
      <c r="AM12" s="197">
        <v>-100</v>
      </c>
      <c r="AN12" s="197">
        <v>3</v>
      </c>
      <c r="AO12" s="197">
        <v>4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100</v>
      </c>
      <c r="AV12" s="197">
        <v>25</v>
      </c>
      <c r="AW12" s="197">
        <v>30</v>
      </c>
      <c r="AX12" s="197">
        <v>0</v>
      </c>
      <c r="AY12" s="197">
        <v>26</v>
      </c>
      <c r="AZ12" s="197">
        <v>105.51</v>
      </c>
      <c r="BA12" s="197">
        <v>86.67</v>
      </c>
      <c r="BB12" s="197">
        <v>0</v>
      </c>
      <c r="BC12" s="197">
        <v>100</v>
      </c>
      <c r="BD12" s="197">
        <v>3</v>
      </c>
      <c r="BE12" s="197">
        <v>4</v>
      </c>
      <c r="BF12" s="197">
        <v>0</v>
      </c>
      <c r="BG12" s="197">
        <v>1</v>
      </c>
      <c r="BH12" s="197">
        <v>30.43</v>
      </c>
      <c r="BI12" s="197">
        <v>25</v>
      </c>
      <c r="BJ12" s="197">
        <v>0</v>
      </c>
      <c r="BK12" s="197">
        <v>100</v>
      </c>
      <c r="BL12" s="197">
        <v>0</v>
      </c>
      <c r="BM12" s="197">
        <v>0</v>
      </c>
      <c r="BN12" s="197">
        <v>0</v>
      </c>
      <c r="BO12" s="197">
        <v>0</v>
      </c>
      <c r="BP12" s="197">
        <v>100</v>
      </c>
      <c r="BQ12" s="197">
        <v>100</v>
      </c>
      <c r="BR12" s="197">
        <v>0</v>
      </c>
      <c r="BS12" s="197">
        <v>100</v>
      </c>
      <c r="BT12" s="197">
        <v>1</v>
      </c>
      <c r="BU12" s="197">
        <v>1</v>
      </c>
      <c r="BV12" s="197">
        <v>0</v>
      </c>
      <c r="BW12" s="197">
        <v>0</v>
      </c>
      <c r="BX12" s="197">
        <v>0</v>
      </c>
      <c r="BY12" s="197">
        <v>0</v>
      </c>
      <c r="BZ12" s="197">
        <v>0</v>
      </c>
      <c r="CA12" s="197">
        <v>100</v>
      </c>
      <c r="CB12" s="197">
        <v>7</v>
      </c>
      <c r="CC12" s="197">
        <v>8</v>
      </c>
      <c r="CD12" s="197">
        <v>0</v>
      </c>
      <c r="CE12" s="197">
        <v>3</v>
      </c>
      <c r="CF12" s="197">
        <v>45.65</v>
      </c>
      <c r="CG12" s="197">
        <v>37.5</v>
      </c>
      <c r="CH12" s="197">
        <v>0</v>
      </c>
      <c r="CI12" s="197">
        <v>100</v>
      </c>
      <c r="CJ12" s="197">
        <v>3</v>
      </c>
      <c r="CK12" s="197">
        <v>4</v>
      </c>
      <c r="CL12" s="197">
        <v>0</v>
      </c>
      <c r="CM12" s="197">
        <v>2</v>
      </c>
      <c r="CN12" s="197">
        <v>60.87</v>
      </c>
      <c r="CO12" s="197">
        <v>50</v>
      </c>
      <c r="CP12" s="197">
        <v>0</v>
      </c>
      <c r="CQ12" s="197">
        <v>100</v>
      </c>
      <c r="CR12" s="197">
        <v>2</v>
      </c>
      <c r="CS12" s="197">
        <v>3</v>
      </c>
      <c r="CT12" s="197">
        <v>0</v>
      </c>
      <c r="CU12" s="197">
        <v>3</v>
      </c>
      <c r="CV12" s="197">
        <v>121.74</v>
      </c>
      <c r="CW12" s="197">
        <v>100</v>
      </c>
      <c r="CX12" s="197">
        <v>0</v>
      </c>
      <c r="CY12" s="197">
        <v>100</v>
      </c>
      <c r="CZ12" s="197">
        <v>1</v>
      </c>
      <c r="DA12" s="197">
        <v>1</v>
      </c>
      <c r="DB12" s="197">
        <v>0</v>
      </c>
      <c r="DC12" s="197">
        <v>3</v>
      </c>
      <c r="DD12" s="197">
        <v>365.22</v>
      </c>
      <c r="DE12" s="197">
        <v>300</v>
      </c>
      <c r="DF12" s="197">
        <v>0</v>
      </c>
      <c r="DG12" s="197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96" t="s">
        <v>87</v>
      </c>
      <c r="F13" s="196" t="s">
        <v>185</v>
      </c>
      <c r="G13" s="196" t="s">
        <v>128</v>
      </c>
      <c r="H13" s="197">
        <v>7</v>
      </c>
      <c r="I13" s="197">
        <v>8</v>
      </c>
      <c r="J13" s="197">
        <v>0</v>
      </c>
      <c r="K13" s="197">
        <v>8</v>
      </c>
      <c r="L13" s="197">
        <v>121.74</v>
      </c>
      <c r="M13" s="197">
        <v>100</v>
      </c>
      <c r="N13" s="197">
        <v>0</v>
      </c>
      <c r="O13" s="197">
        <v>100</v>
      </c>
      <c r="P13" s="197">
        <v>3</v>
      </c>
      <c r="Q13" s="197">
        <v>4</v>
      </c>
      <c r="R13" s="197">
        <v>0</v>
      </c>
      <c r="S13" s="197">
        <v>3</v>
      </c>
      <c r="T13" s="197">
        <v>91.3</v>
      </c>
      <c r="U13" s="197">
        <v>75</v>
      </c>
      <c r="V13" s="197">
        <v>0</v>
      </c>
      <c r="W13" s="197">
        <v>100</v>
      </c>
      <c r="X13" s="197">
        <v>2</v>
      </c>
      <c r="Y13" s="197">
        <v>2</v>
      </c>
      <c r="Z13" s="197">
        <v>0</v>
      </c>
      <c r="AA13" s="197">
        <v>0</v>
      </c>
      <c r="AB13" s="197">
        <v>0</v>
      </c>
      <c r="AC13" s="197">
        <v>0</v>
      </c>
      <c r="AD13" s="197">
        <v>2</v>
      </c>
      <c r="AE13" s="197">
        <v>-100</v>
      </c>
      <c r="AF13" s="197">
        <v>4</v>
      </c>
      <c r="AG13" s="197">
        <v>5</v>
      </c>
      <c r="AH13" s="197">
        <v>0</v>
      </c>
      <c r="AI13" s="197">
        <v>2</v>
      </c>
      <c r="AJ13" s="197">
        <v>151.30000000000001</v>
      </c>
      <c r="AK13" s="197">
        <v>160</v>
      </c>
      <c r="AL13" s="197">
        <v>1</v>
      </c>
      <c r="AM13" s="197">
        <v>100</v>
      </c>
      <c r="AN13" s="197">
        <v>3</v>
      </c>
      <c r="AO13" s="197">
        <v>4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100</v>
      </c>
      <c r="AV13" s="197">
        <v>41</v>
      </c>
      <c r="AW13" s="197">
        <v>50</v>
      </c>
      <c r="AX13" s="197">
        <v>0</v>
      </c>
      <c r="AY13" s="197">
        <v>69</v>
      </c>
      <c r="AZ13" s="197">
        <v>168</v>
      </c>
      <c r="BA13" s="197">
        <v>138</v>
      </c>
      <c r="BB13" s="197">
        <v>0</v>
      </c>
      <c r="BC13" s="197">
        <v>100</v>
      </c>
      <c r="BD13" s="197">
        <v>4</v>
      </c>
      <c r="BE13" s="197">
        <v>5</v>
      </c>
      <c r="BF13" s="197">
        <v>0</v>
      </c>
      <c r="BG13" s="197">
        <v>4</v>
      </c>
      <c r="BH13" s="197">
        <v>97.39</v>
      </c>
      <c r="BI13" s="197">
        <v>80</v>
      </c>
      <c r="BJ13" s="197">
        <v>0</v>
      </c>
      <c r="BK13" s="197">
        <v>100</v>
      </c>
      <c r="BL13" s="197">
        <v>1</v>
      </c>
      <c r="BM13" s="197">
        <v>1</v>
      </c>
      <c r="BN13" s="197">
        <v>0</v>
      </c>
      <c r="BO13" s="197">
        <v>0</v>
      </c>
      <c r="BP13" s="197">
        <v>0</v>
      </c>
      <c r="BQ13" s="197">
        <v>0</v>
      </c>
      <c r="BR13" s="197">
        <v>0</v>
      </c>
      <c r="BS13" s="197">
        <v>100</v>
      </c>
      <c r="BT13" s="197">
        <v>1</v>
      </c>
      <c r="BU13" s="197">
        <v>1</v>
      </c>
      <c r="BV13" s="197">
        <v>0</v>
      </c>
      <c r="BW13" s="197">
        <v>0</v>
      </c>
      <c r="BX13" s="197">
        <v>0</v>
      </c>
      <c r="BY13" s="197">
        <v>0</v>
      </c>
      <c r="BZ13" s="197">
        <v>0</v>
      </c>
      <c r="CA13" s="197">
        <v>100</v>
      </c>
      <c r="CB13" s="197">
        <v>7</v>
      </c>
      <c r="CC13" s="197">
        <v>9</v>
      </c>
      <c r="CD13" s="197">
        <v>0</v>
      </c>
      <c r="CE13" s="197">
        <v>11</v>
      </c>
      <c r="CF13" s="197">
        <v>148.79</v>
      </c>
      <c r="CG13" s="197">
        <v>122.22</v>
      </c>
      <c r="CH13" s="197">
        <v>0</v>
      </c>
      <c r="CI13" s="197">
        <v>100</v>
      </c>
      <c r="CJ13" s="197">
        <v>4</v>
      </c>
      <c r="CK13" s="197">
        <v>5</v>
      </c>
      <c r="CL13" s="197">
        <v>0</v>
      </c>
      <c r="CM13" s="197">
        <v>1</v>
      </c>
      <c r="CN13" s="197">
        <v>24.35</v>
      </c>
      <c r="CO13" s="197">
        <v>20</v>
      </c>
      <c r="CP13" s="197">
        <v>0</v>
      </c>
      <c r="CQ13" s="197">
        <v>100</v>
      </c>
      <c r="CR13" s="197">
        <v>3</v>
      </c>
      <c r="CS13" s="197">
        <v>4</v>
      </c>
      <c r="CT13" s="197">
        <v>0</v>
      </c>
      <c r="CU13" s="197">
        <v>3</v>
      </c>
      <c r="CV13" s="197">
        <v>91.3</v>
      </c>
      <c r="CW13" s="197">
        <v>75</v>
      </c>
      <c r="CX13" s="197">
        <v>0</v>
      </c>
      <c r="CY13" s="197">
        <v>100</v>
      </c>
      <c r="CZ13" s="197">
        <v>1</v>
      </c>
      <c r="DA13" s="197">
        <v>1</v>
      </c>
      <c r="DB13" s="197">
        <v>0</v>
      </c>
      <c r="DC13" s="197">
        <v>0</v>
      </c>
      <c r="DD13" s="197">
        <v>0</v>
      </c>
      <c r="DE13" s="197">
        <v>0</v>
      </c>
      <c r="DF13" s="197">
        <v>0</v>
      </c>
      <c r="DG13" s="197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96" t="s">
        <v>90</v>
      </c>
      <c r="F14" s="196" t="s">
        <v>186</v>
      </c>
      <c r="G14" s="196" t="s">
        <v>179</v>
      </c>
      <c r="H14" s="197">
        <v>6</v>
      </c>
      <c r="I14" s="197">
        <v>7</v>
      </c>
      <c r="J14" s="197">
        <v>0</v>
      </c>
      <c r="K14" s="197">
        <v>8</v>
      </c>
      <c r="L14" s="197">
        <v>139.13</v>
      </c>
      <c r="M14" s="197">
        <v>114.29</v>
      </c>
      <c r="N14" s="197">
        <v>0</v>
      </c>
      <c r="O14" s="197">
        <v>100</v>
      </c>
      <c r="P14" s="197">
        <v>3</v>
      </c>
      <c r="Q14" s="197">
        <v>4</v>
      </c>
      <c r="R14" s="197">
        <v>0</v>
      </c>
      <c r="S14" s="197">
        <v>5</v>
      </c>
      <c r="T14" s="197">
        <v>152.16999999999999</v>
      </c>
      <c r="U14" s="197">
        <v>125</v>
      </c>
      <c r="V14" s="197">
        <v>0</v>
      </c>
      <c r="W14" s="197">
        <v>100</v>
      </c>
      <c r="X14" s="197">
        <v>2</v>
      </c>
      <c r="Y14" s="197">
        <v>2</v>
      </c>
      <c r="Z14" s="197">
        <v>0</v>
      </c>
      <c r="AA14" s="197">
        <v>1</v>
      </c>
      <c r="AB14" s="197">
        <v>60.87</v>
      </c>
      <c r="AC14" s="197">
        <v>50</v>
      </c>
      <c r="AD14" s="197">
        <v>0</v>
      </c>
      <c r="AE14" s="197">
        <v>100</v>
      </c>
      <c r="AF14" s="197">
        <v>3</v>
      </c>
      <c r="AG14" s="197">
        <v>4</v>
      </c>
      <c r="AH14" s="197">
        <v>0</v>
      </c>
      <c r="AI14" s="197">
        <v>2</v>
      </c>
      <c r="AJ14" s="197">
        <v>139.13</v>
      </c>
      <c r="AK14" s="197">
        <v>150</v>
      </c>
      <c r="AL14" s="197">
        <v>0</v>
      </c>
      <c r="AM14" s="197">
        <v>100</v>
      </c>
      <c r="AN14" s="197">
        <v>3</v>
      </c>
      <c r="AO14" s="197">
        <v>4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100</v>
      </c>
      <c r="AV14" s="197">
        <v>49</v>
      </c>
      <c r="AW14" s="197">
        <v>60</v>
      </c>
      <c r="AX14" s="197">
        <v>0</v>
      </c>
      <c r="AY14" s="197">
        <v>199</v>
      </c>
      <c r="AZ14" s="197">
        <v>403.77</v>
      </c>
      <c r="BA14" s="197">
        <v>331.67</v>
      </c>
      <c r="BB14" s="197">
        <v>0</v>
      </c>
      <c r="BC14" s="197">
        <v>100</v>
      </c>
      <c r="BD14" s="197">
        <v>4</v>
      </c>
      <c r="BE14" s="197">
        <v>5</v>
      </c>
      <c r="BF14" s="197">
        <v>1</v>
      </c>
      <c r="BG14" s="197">
        <v>3</v>
      </c>
      <c r="BH14" s="197">
        <v>73.040000000000006</v>
      </c>
      <c r="BI14" s="197">
        <v>60</v>
      </c>
      <c r="BJ14" s="197">
        <v>0</v>
      </c>
      <c r="BK14" s="197">
        <v>100</v>
      </c>
      <c r="BL14" s="197">
        <v>1</v>
      </c>
      <c r="BM14" s="197">
        <v>1</v>
      </c>
      <c r="BN14" s="197">
        <v>0</v>
      </c>
      <c r="BO14" s="197">
        <v>6</v>
      </c>
      <c r="BP14" s="197">
        <v>730.43</v>
      </c>
      <c r="BQ14" s="197">
        <v>600</v>
      </c>
      <c r="BR14" s="197">
        <v>0</v>
      </c>
      <c r="BS14" s="197">
        <v>100</v>
      </c>
      <c r="BT14" s="197">
        <v>1</v>
      </c>
      <c r="BU14" s="197">
        <v>1</v>
      </c>
      <c r="BV14" s="197">
        <v>0</v>
      </c>
      <c r="BW14" s="197">
        <v>1</v>
      </c>
      <c r="BX14" s="197">
        <v>121.74</v>
      </c>
      <c r="BY14" s="197">
        <v>100</v>
      </c>
      <c r="BZ14" s="197">
        <v>0</v>
      </c>
      <c r="CA14" s="197">
        <v>100</v>
      </c>
      <c r="CB14" s="197">
        <v>7</v>
      </c>
      <c r="CC14" s="197">
        <v>8</v>
      </c>
      <c r="CD14" s="197">
        <v>0</v>
      </c>
      <c r="CE14" s="197">
        <v>17</v>
      </c>
      <c r="CF14" s="197">
        <v>258.7</v>
      </c>
      <c r="CG14" s="197">
        <v>212.5</v>
      </c>
      <c r="CH14" s="197">
        <v>0</v>
      </c>
      <c r="CI14" s="197">
        <v>100</v>
      </c>
      <c r="CJ14" s="197">
        <v>3</v>
      </c>
      <c r="CK14" s="197">
        <v>4</v>
      </c>
      <c r="CL14" s="197">
        <v>0</v>
      </c>
      <c r="CM14" s="197">
        <v>7</v>
      </c>
      <c r="CN14" s="197">
        <v>213.04</v>
      </c>
      <c r="CO14" s="197">
        <v>175</v>
      </c>
      <c r="CP14" s="197">
        <v>0</v>
      </c>
      <c r="CQ14" s="197">
        <v>100</v>
      </c>
      <c r="CR14" s="197">
        <v>3</v>
      </c>
      <c r="CS14" s="197">
        <v>4</v>
      </c>
      <c r="CT14" s="197">
        <v>0</v>
      </c>
      <c r="CU14" s="197">
        <v>9</v>
      </c>
      <c r="CV14" s="197">
        <v>273.91000000000003</v>
      </c>
      <c r="CW14" s="197">
        <v>225</v>
      </c>
      <c r="CX14" s="197">
        <v>0</v>
      </c>
      <c r="CY14" s="197">
        <v>100</v>
      </c>
      <c r="CZ14" s="197">
        <v>1</v>
      </c>
      <c r="DA14" s="197">
        <v>1</v>
      </c>
      <c r="DB14" s="197">
        <v>0</v>
      </c>
      <c r="DC14" s="197">
        <v>15</v>
      </c>
      <c r="DD14" s="197">
        <v>1826.09</v>
      </c>
      <c r="DE14" s="197">
        <v>1500</v>
      </c>
      <c r="DF14" s="197">
        <v>2</v>
      </c>
      <c r="DG14" s="197">
        <v>650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96" t="s">
        <v>99</v>
      </c>
      <c r="F15" s="196" t="s">
        <v>188</v>
      </c>
      <c r="G15" s="196" t="s">
        <v>128</v>
      </c>
      <c r="H15" s="197">
        <v>7</v>
      </c>
      <c r="I15" s="197">
        <v>8</v>
      </c>
      <c r="J15" s="197">
        <v>1</v>
      </c>
      <c r="K15" s="197">
        <v>10</v>
      </c>
      <c r="L15" s="197">
        <v>152.16999999999999</v>
      </c>
      <c r="M15" s="197">
        <v>125</v>
      </c>
      <c r="N15" s="197">
        <v>0</v>
      </c>
      <c r="O15" s="197">
        <v>100</v>
      </c>
      <c r="P15" s="197">
        <v>3</v>
      </c>
      <c r="Q15" s="197">
        <v>4</v>
      </c>
      <c r="R15" s="197">
        <v>1</v>
      </c>
      <c r="S15" s="197">
        <v>3</v>
      </c>
      <c r="T15" s="197">
        <v>91.3</v>
      </c>
      <c r="U15" s="197">
        <v>75</v>
      </c>
      <c r="V15" s="197">
        <v>0</v>
      </c>
      <c r="W15" s="197">
        <v>100</v>
      </c>
      <c r="X15" s="197">
        <v>2</v>
      </c>
      <c r="Y15" s="197">
        <v>3</v>
      </c>
      <c r="Z15" s="197">
        <v>0</v>
      </c>
      <c r="AA15" s="197">
        <v>0</v>
      </c>
      <c r="AB15" s="197">
        <v>0</v>
      </c>
      <c r="AC15" s="197">
        <v>0</v>
      </c>
      <c r="AD15" s="197">
        <v>2</v>
      </c>
      <c r="AE15" s="197">
        <v>-100</v>
      </c>
      <c r="AF15" s="197">
        <v>4</v>
      </c>
      <c r="AG15" s="197">
        <v>5</v>
      </c>
      <c r="AH15" s="197">
        <v>0</v>
      </c>
      <c r="AI15" s="197">
        <v>0</v>
      </c>
      <c r="AJ15" s="197">
        <v>200</v>
      </c>
      <c r="AK15" s="197">
        <v>200</v>
      </c>
      <c r="AL15" s="197">
        <v>1</v>
      </c>
      <c r="AM15" s="197">
        <v>-100</v>
      </c>
      <c r="AN15" s="197">
        <v>3</v>
      </c>
      <c r="AO15" s="197">
        <v>4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100</v>
      </c>
      <c r="AV15" s="197">
        <v>25</v>
      </c>
      <c r="AW15" s="197">
        <v>30</v>
      </c>
      <c r="AX15" s="197">
        <v>0</v>
      </c>
      <c r="AY15" s="197">
        <v>60</v>
      </c>
      <c r="AZ15" s="197">
        <v>243.48</v>
      </c>
      <c r="BA15" s="197">
        <v>200</v>
      </c>
      <c r="BB15" s="197">
        <v>0</v>
      </c>
      <c r="BC15" s="197">
        <v>100</v>
      </c>
      <c r="BD15" s="197">
        <v>4</v>
      </c>
      <c r="BE15" s="197">
        <v>5</v>
      </c>
      <c r="BF15" s="197">
        <v>1</v>
      </c>
      <c r="BG15" s="197">
        <v>3</v>
      </c>
      <c r="BH15" s="197">
        <v>73.040000000000006</v>
      </c>
      <c r="BI15" s="197">
        <v>60</v>
      </c>
      <c r="BJ15" s="197">
        <v>0</v>
      </c>
      <c r="BK15" s="197">
        <v>100</v>
      </c>
      <c r="BL15" s="197">
        <v>0</v>
      </c>
      <c r="BM15" s="197">
        <v>0</v>
      </c>
      <c r="BN15" s="197">
        <v>0</v>
      </c>
      <c r="BO15" s="197">
        <v>0</v>
      </c>
      <c r="BP15" s="197">
        <v>100</v>
      </c>
      <c r="BQ15" s="197">
        <v>100</v>
      </c>
      <c r="BR15" s="197">
        <v>0</v>
      </c>
      <c r="BS15" s="197">
        <v>100</v>
      </c>
      <c r="BT15" s="197">
        <v>1</v>
      </c>
      <c r="BU15" s="197">
        <v>1</v>
      </c>
      <c r="BV15" s="197">
        <v>0</v>
      </c>
      <c r="BW15" s="197">
        <v>1</v>
      </c>
      <c r="BX15" s="197">
        <v>121.74</v>
      </c>
      <c r="BY15" s="197">
        <v>100</v>
      </c>
      <c r="BZ15" s="197">
        <v>0</v>
      </c>
      <c r="CA15" s="197">
        <v>100</v>
      </c>
      <c r="CB15" s="197">
        <v>7</v>
      </c>
      <c r="CC15" s="197">
        <v>9</v>
      </c>
      <c r="CD15" s="197">
        <v>0</v>
      </c>
      <c r="CE15" s="197">
        <v>11</v>
      </c>
      <c r="CF15" s="197">
        <v>148.79</v>
      </c>
      <c r="CG15" s="197">
        <v>122.22</v>
      </c>
      <c r="CH15" s="197">
        <v>0</v>
      </c>
      <c r="CI15" s="197">
        <v>100</v>
      </c>
      <c r="CJ15" s="197">
        <v>4</v>
      </c>
      <c r="CK15" s="197">
        <v>5</v>
      </c>
      <c r="CL15" s="197">
        <v>0</v>
      </c>
      <c r="CM15" s="197">
        <v>6</v>
      </c>
      <c r="CN15" s="197">
        <v>146.09</v>
      </c>
      <c r="CO15" s="197">
        <v>120</v>
      </c>
      <c r="CP15" s="197">
        <v>0</v>
      </c>
      <c r="CQ15" s="197">
        <v>100</v>
      </c>
      <c r="CR15" s="197">
        <v>2</v>
      </c>
      <c r="CS15" s="197">
        <v>3</v>
      </c>
      <c r="CT15" s="197">
        <v>0</v>
      </c>
      <c r="CU15" s="197">
        <v>2</v>
      </c>
      <c r="CV15" s="197">
        <v>81.16</v>
      </c>
      <c r="CW15" s="197">
        <v>66.67</v>
      </c>
      <c r="CX15" s="197">
        <v>0</v>
      </c>
      <c r="CY15" s="197">
        <v>100</v>
      </c>
      <c r="CZ15" s="197">
        <v>1</v>
      </c>
      <c r="DA15" s="197">
        <v>1</v>
      </c>
      <c r="DB15" s="197">
        <v>0</v>
      </c>
      <c r="DC15" s="197">
        <v>1</v>
      </c>
      <c r="DD15" s="197">
        <v>121.74</v>
      </c>
      <c r="DE15" s="197">
        <v>100</v>
      </c>
      <c r="DF15" s="197">
        <v>0</v>
      </c>
      <c r="DG15" s="197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96" t="s">
        <v>102</v>
      </c>
      <c r="F16" s="196" t="s">
        <v>189</v>
      </c>
      <c r="G16" s="196" t="s">
        <v>179</v>
      </c>
      <c r="H16" s="197">
        <v>6</v>
      </c>
      <c r="I16" s="197">
        <v>7</v>
      </c>
      <c r="J16" s="197">
        <v>1</v>
      </c>
      <c r="K16" s="197">
        <v>6</v>
      </c>
      <c r="L16" s="197">
        <v>104.35</v>
      </c>
      <c r="M16" s="197">
        <v>85.71</v>
      </c>
      <c r="N16" s="197">
        <v>0</v>
      </c>
      <c r="O16" s="197">
        <v>100</v>
      </c>
      <c r="P16" s="197">
        <v>3</v>
      </c>
      <c r="Q16" s="197">
        <v>4</v>
      </c>
      <c r="R16" s="197">
        <v>0</v>
      </c>
      <c r="S16" s="197">
        <v>2</v>
      </c>
      <c r="T16" s="197">
        <v>60.87</v>
      </c>
      <c r="U16" s="197">
        <v>50</v>
      </c>
      <c r="V16" s="197">
        <v>0</v>
      </c>
      <c r="W16" s="197">
        <v>100</v>
      </c>
      <c r="X16" s="197">
        <v>2</v>
      </c>
      <c r="Y16" s="197">
        <v>3</v>
      </c>
      <c r="Z16" s="197">
        <v>0</v>
      </c>
      <c r="AA16" s="197">
        <v>0</v>
      </c>
      <c r="AB16" s="197">
        <v>0</v>
      </c>
      <c r="AC16" s="197">
        <v>0</v>
      </c>
      <c r="AD16" s="197">
        <v>0</v>
      </c>
      <c r="AE16" s="197">
        <v>100</v>
      </c>
      <c r="AF16" s="197">
        <v>3</v>
      </c>
      <c r="AG16" s="197">
        <v>4</v>
      </c>
      <c r="AH16" s="197">
        <v>0</v>
      </c>
      <c r="AI16" s="197">
        <v>5</v>
      </c>
      <c r="AJ16" s="197">
        <v>47.83</v>
      </c>
      <c r="AK16" s="197">
        <v>75</v>
      </c>
      <c r="AL16" s="197">
        <v>2</v>
      </c>
      <c r="AM16" s="197">
        <v>150</v>
      </c>
      <c r="AN16" s="197">
        <v>3</v>
      </c>
      <c r="AO16" s="197">
        <v>4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100</v>
      </c>
      <c r="AV16" s="197">
        <v>29</v>
      </c>
      <c r="AW16" s="197">
        <v>35</v>
      </c>
      <c r="AX16" s="197">
        <v>0</v>
      </c>
      <c r="AY16" s="197">
        <v>93</v>
      </c>
      <c r="AZ16" s="197">
        <v>323.48</v>
      </c>
      <c r="BA16" s="197">
        <v>265.70999999999998</v>
      </c>
      <c r="BB16" s="197">
        <v>0</v>
      </c>
      <c r="BC16" s="197">
        <v>100</v>
      </c>
      <c r="BD16" s="197">
        <v>4</v>
      </c>
      <c r="BE16" s="197">
        <v>5</v>
      </c>
      <c r="BF16" s="197">
        <v>0</v>
      </c>
      <c r="BG16" s="197">
        <v>2</v>
      </c>
      <c r="BH16" s="197">
        <v>48.7</v>
      </c>
      <c r="BI16" s="197">
        <v>40</v>
      </c>
      <c r="BJ16" s="197">
        <v>0</v>
      </c>
      <c r="BK16" s="197">
        <v>100</v>
      </c>
      <c r="BL16" s="197">
        <v>1</v>
      </c>
      <c r="BM16" s="197">
        <v>1</v>
      </c>
      <c r="BN16" s="197">
        <v>0</v>
      </c>
      <c r="BO16" s="197">
        <v>2</v>
      </c>
      <c r="BP16" s="197">
        <v>243.48</v>
      </c>
      <c r="BQ16" s="197">
        <v>200</v>
      </c>
      <c r="BR16" s="197">
        <v>0</v>
      </c>
      <c r="BS16" s="197">
        <v>100</v>
      </c>
      <c r="BT16" s="197">
        <v>1</v>
      </c>
      <c r="BU16" s="197">
        <v>1</v>
      </c>
      <c r="BV16" s="197">
        <v>0</v>
      </c>
      <c r="BW16" s="197">
        <v>1</v>
      </c>
      <c r="BX16" s="197">
        <v>121.74</v>
      </c>
      <c r="BY16" s="197">
        <v>100</v>
      </c>
      <c r="BZ16" s="197">
        <v>0</v>
      </c>
      <c r="CA16" s="197">
        <v>100</v>
      </c>
      <c r="CB16" s="197">
        <v>7</v>
      </c>
      <c r="CC16" s="197">
        <v>8</v>
      </c>
      <c r="CD16" s="197">
        <v>0</v>
      </c>
      <c r="CE16" s="197">
        <v>6</v>
      </c>
      <c r="CF16" s="197">
        <v>91.3</v>
      </c>
      <c r="CG16" s="197">
        <v>75</v>
      </c>
      <c r="CH16" s="197">
        <v>0</v>
      </c>
      <c r="CI16" s="197">
        <v>100</v>
      </c>
      <c r="CJ16" s="197">
        <v>3</v>
      </c>
      <c r="CK16" s="197">
        <v>4</v>
      </c>
      <c r="CL16" s="197">
        <v>0</v>
      </c>
      <c r="CM16" s="197">
        <v>4</v>
      </c>
      <c r="CN16" s="197">
        <v>121.74</v>
      </c>
      <c r="CO16" s="197">
        <v>100</v>
      </c>
      <c r="CP16" s="197">
        <v>0</v>
      </c>
      <c r="CQ16" s="197">
        <v>100</v>
      </c>
      <c r="CR16" s="197">
        <v>3</v>
      </c>
      <c r="CS16" s="197">
        <v>4</v>
      </c>
      <c r="CT16" s="197">
        <v>1</v>
      </c>
      <c r="CU16" s="197">
        <v>8</v>
      </c>
      <c r="CV16" s="197">
        <v>243.48</v>
      </c>
      <c r="CW16" s="197">
        <v>200</v>
      </c>
      <c r="CX16" s="197">
        <v>0</v>
      </c>
      <c r="CY16" s="197">
        <v>100</v>
      </c>
      <c r="CZ16" s="197">
        <v>1</v>
      </c>
      <c r="DA16" s="197">
        <v>1</v>
      </c>
      <c r="DB16" s="197">
        <v>0</v>
      </c>
      <c r="DC16" s="197">
        <v>10</v>
      </c>
      <c r="DD16" s="197">
        <v>1217.3900000000001</v>
      </c>
      <c r="DE16" s="197">
        <v>1000</v>
      </c>
      <c r="DF16" s="197">
        <v>1</v>
      </c>
      <c r="DG16" s="197">
        <v>900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96" t="s">
        <v>105</v>
      </c>
      <c r="F17" s="196" t="s">
        <v>190</v>
      </c>
      <c r="G17" s="196" t="s">
        <v>179</v>
      </c>
      <c r="H17" s="197">
        <v>6</v>
      </c>
      <c r="I17" s="197">
        <v>7</v>
      </c>
      <c r="J17" s="197">
        <v>0</v>
      </c>
      <c r="K17" s="197">
        <v>5</v>
      </c>
      <c r="L17" s="197">
        <v>86.96</v>
      </c>
      <c r="M17" s="197">
        <v>71.430000000000007</v>
      </c>
      <c r="N17" s="197">
        <v>0</v>
      </c>
      <c r="O17" s="197">
        <v>100</v>
      </c>
      <c r="P17" s="197">
        <v>3</v>
      </c>
      <c r="Q17" s="197">
        <v>4</v>
      </c>
      <c r="R17" s="197">
        <v>0</v>
      </c>
      <c r="S17" s="197">
        <v>6</v>
      </c>
      <c r="T17" s="197">
        <v>182.61</v>
      </c>
      <c r="U17" s="197">
        <v>150</v>
      </c>
      <c r="V17" s="197">
        <v>0</v>
      </c>
      <c r="W17" s="197">
        <v>100</v>
      </c>
      <c r="X17" s="197">
        <v>2</v>
      </c>
      <c r="Y17" s="197">
        <v>3</v>
      </c>
      <c r="Z17" s="197">
        <v>0</v>
      </c>
      <c r="AA17" s="197">
        <v>1</v>
      </c>
      <c r="AB17" s="197">
        <v>40.58</v>
      </c>
      <c r="AC17" s="197">
        <v>33.33</v>
      </c>
      <c r="AD17" s="197">
        <v>0</v>
      </c>
      <c r="AE17" s="197">
        <v>100</v>
      </c>
      <c r="AF17" s="197">
        <v>3</v>
      </c>
      <c r="AG17" s="197">
        <v>4</v>
      </c>
      <c r="AH17" s="197">
        <v>0</v>
      </c>
      <c r="AI17" s="197">
        <v>2</v>
      </c>
      <c r="AJ17" s="197">
        <v>139.13</v>
      </c>
      <c r="AK17" s="197">
        <v>150</v>
      </c>
      <c r="AL17" s="197">
        <v>1</v>
      </c>
      <c r="AM17" s="197">
        <v>100</v>
      </c>
      <c r="AN17" s="197">
        <v>3</v>
      </c>
      <c r="AO17" s="197">
        <v>4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100</v>
      </c>
      <c r="AV17" s="197">
        <v>29</v>
      </c>
      <c r="AW17" s="197">
        <v>35</v>
      </c>
      <c r="AX17" s="197">
        <v>0</v>
      </c>
      <c r="AY17" s="197">
        <v>57</v>
      </c>
      <c r="AZ17" s="197">
        <v>198.26</v>
      </c>
      <c r="BA17" s="197">
        <v>162.86000000000001</v>
      </c>
      <c r="BB17" s="197">
        <v>0</v>
      </c>
      <c r="BC17" s="197">
        <v>100</v>
      </c>
      <c r="BD17" s="197">
        <v>4</v>
      </c>
      <c r="BE17" s="197">
        <v>5</v>
      </c>
      <c r="BF17" s="197">
        <v>1</v>
      </c>
      <c r="BG17" s="197">
        <v>6</v>
      </c>
      <c r="BH17" s="197">
        <v>146.09</v>
      </c>
      <c r="BI17" s="197">
        <v>120</v>
      </c>
      <c r="BJ17" s="197">
        <v>0</v>
      </c>
      <c r="BK17" s="197">
        <v>100</v>
      </c>
      <c r="BL17" s="197">
        <v>0</v>
      </c>
      <c r="BM17" s="197">
        <v>0</v>
      </c>
      <c r="BN17" s="197">
        <v>0</v>
      </c>
      <c r="BO17" s="197">
        <v>0</v>
      </c>
      <c r="BP17" s="197">
        <v>100</v>
      </c>
      <c r="BQ17" s="197">
        <v>100</v>
      </c>
      <c r="BR17" s="197">
        <v>0</v>
      </c>
      <c r="BS17" s="197">
        <v>100</v>
      </c>
      <c r="BT17" s="197">
        <v>1</v>
      </c>
      <c r="BU17" s="197">
        <v>1</v>
      </c>
      <c r="BV17" s="197">
        <v>0</v>
      </c>
      <c r="BW17" s="197">
        <v>0</v>
      </c>
      <c r="BX17" s="197">
        <v>0</v>
      </c>
      <c r="BY17" s="197">
        <v>0</v>
      </c>
      <c r="BZ17" s="197">
        <v>0</v>
      </c>
      <c r="CA17" s="197">
        <v>100</v>
      </c>
      <c r="CB17" s="197">
        <v>7</v>
      </c>
      <c r="CC17" s="197">
        <v>8</v>
      </c>
      <c r="CD17" s="197">
        <v>0</v>
      </c>
      <c r="CE17" s="197">
        <v>11</v>
      </c>
      <c r="CF17" s="197">
        <v>167.39</v>
      </c>
      <c r="CG17" s="197">
        <v>137.5</v>
      </c>
      <c r="CH17" s="197">
        <v>0</v>
      </c>
      <c r="CI17" s="197">
        <v>100</v>
      </c>
      <c r="CJ17" s="197">
        <v>3</v>
      </c>
      <c r="CK17" s="197">
        <v>4</v>
      </c>
      <c r="CL17" s="197">
        <v>0</v>
      </c>
      <c r="CM17" s="197">
        <v>6</v>
      </c>
      <c r="CN17" s="197">
        <v>182.61</v>
      </c>
      <c r="CO17" s="197">
        <v>150</v>
      </c>
      <c r="CP17" s="197">
        <v>0</v>
      </c>
      <c r="CQ17" s="197">
        <v>100</v>
      </c>
      <c r="CR17" s="197">
        <v>3</v>
      </c>
      <c r="CS17" s="197">
        <v>4</v>
      </c>
      <c r="CT17" s="197">
        <v>0</v>
      </c>
      <c r="CU17" s="197">
        <v>5</v>
      </c>
      <c r="CV17" s="197">
        <v>152.16999999999999</v>
      </c>
      <c r="CW17" s="197">
        <v>125</v>
      </c>
      <c r="CX17" s="197">
        <v>0</v>
      </c>
      <c r="CY17" s="197">
        <v>100</v>
      </c>
      <c r="CZ17" s="197">
        <v>1</v>
      </c>
      <c r="DA17" s="197">
        <v>1</v>
      </c>
      <c r="DB17" s="197">
        <v>0</v>
      </c>
      <c r="DC17" s="197">
        <v>10</v>
      </c>
      <c r="DD17" s="197">
        <v>1217.3900000000001</v>
      </c>
      <c r="DE17" s="197">
        <v>1000</v>
      </c>
      <c r="DF17" s="197">
        <v>0</v>
      </c>
      <c r="DG17" s="197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96" t="s">
        <v>107</v>
      </c>
      <c r="F18" s="196" t="s">
        <v>191</v>
      </c>
      <c r="G18" s="196" t="s">
        <v>129</v>
      </c>
      <c r="H18" s="197">
        <v>6</v>
      </c>
      <c r="I18" s="197">
        <v>7</v>
      </c>
      <c r="J18" s="197">
        <v>0</v>
      </c>
      <c r="K18" s="197">
        <v>6</v>
      </c>
      <c r="L18" s="197">
        <v>104.35</v>
      </c>
      <c r="M18" s="197">
        <v>85.71</v>
      </c>
      <c r="N18" s="197">
        <v>0</v>
      </c>
      <c r="O18" s="197">
        <v>100</v>
      </c>
      <c r="P18" s="197">
        <v>3</v>
      </c>
      <c r="Q18" s="197">
        <v>4</v>
      </c>
      <c r="R18" s="197">
        <v>0</v>
      </c>
      <c r="S18" s="197">
        <v>9</v>
      </c>
      <c r="T18" s="197">
        <v>273.91000000000003</v>
      </c>
      <c r="U18" s="197">
        <v>225</v>
      </c>
      <c r="V18" s="197">
        <v>0</v>
      </c>
      <c r="W18" s="197">
        <v>100</v>
      </c>
      <c r="X18" s="197">
        <v>2</v>
      </c>
      <c r="Y18" s="197">
        <v>3</v>
      </c>
      <c r="Z18" s="197">
        <v>0</v>
      </c>
      <c r="AA18" s="197">
        <v>1</v>
      </c>
      <c r="AB18" s="197">
        <v>40.58</v>
      </c>
      <c r="AC18" s="197">
        <v>33.33</v>
      </c>
      <c r="AD18" s="197">
        <v>0</v>
      </c>
      <c r="AE18" s="197">
        <v>100</v>
      </c>
      <c r="AF18" s="197">
        <v>4</v>
      </c>
      <c r="AG18" s="197">
        <v>5</v>
      </c>
      <c r="AH18" s="197">
        <v>0</v>
      </c>
      <c r="AI18" s="197">
        <v>3</v>
      </c>
      <c r="AJ18" s="197">
        <v>126.96</v>
      </c>
      <c r="AK18" s="197">
        <v>140</v>
      </c>
      <c r="AL18" s="197">
        <v>0</v>
      </c>
      <c r="AM18" s="197">
        <v>100</v>
      </c>
      <c r="AN18" s="197">
        <v>3</v>
      </c>
      <c r="AO18" s="197">
        <v>4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100</v>
      </c>
      <c r="AV18" s="197">
        <v>25</v>
      </c>
      <c r="AW18" s="197">
        <v>30</v>
      </c>
      <c r="AX18" s="197">
        <v>0</v>
      </c>
      <c r="AY18" s="197">
        <v>67</v>
      </c>
      <c r="AZ18" s="197">
        <v>271.88</v>
      </c>
      <c r="BA18" s="197">
        <v>223.33</v>
      </c>
      <c r="BB18" s="197">
        <v>0</v>
      </c>
      <c r="BC18" s="197">
        <v>100</v>
      </c>
      <c r="BD18" s="197">
        <v>4</v>
      </c>
      <c r="BE18" s="197">
        <v>5</v>
      </c>
      <c r="BF18" s="197">
        <v>1</v>
      </c>
      <c r="BG18" s="197">
        <v>3</v>
      </c>
      <c r="BH18" s="197">
        <v>73.040000000000006</v>
      </c>
      <c r="BI18" s="197">
        <v>60</v>
      </c>
      <c r="BJ18" s="197">
        <v>0</v>
      </c>
      <c r="BK18" s="197">
        <v>100</v>
      </c>
      <c r="BL18" s="197">
        <v>0</v>
      </c>
      <c r="BM18" s="197">
        <v>0</v>
      </c>
      <c r="BN18" s="197">
        <v>0</v>
      </c>
      <c r="BO18" s="197">
        <v>2</v>
      </c>
      <c r="BP18" s="197">
        <v>100</v>
      </c>
      <c r="BQ18" s="197">
        <v>100</v>
      </c>
      <c r="BR18" s="197">
        <v>0</v>
      </c>
      <c r="BS18" s="197">
        <v>100</v>
      </c>
      <c r="BT18" s="197">
        <v>1</v>
      </c>
      <c r="BU18" s="197">
        <v>1</v>
      </c>
      <c r="BV18" s="197">
        <v>0</v>
      </c>
      <c r="BW18" s="197">
        <v>0</v>
      </c>
      <c r="BX18" s="197">
        <v>0</v>
      </c>
      <c r="BY18" s="197">
        <v>0</v>
      </c>
      <c r="BZ18" s="197">
        <v>0</v>
      </c>
      <c r="CA18" s="197">
        <v>100</v>
      </c>
      <c r="CB18" s="197">
        <v>7</v>
      </c>
      <c r="CC18" s="197">
        <v>8</v>
      </c>
      <c r="CD18" s="197">
        <v>0</v>
      </c>
      <c r="CE18" s="197">
        <v>8</v>
      </c>
      <c r="CF18" s="197">
        <v>121.74</v>
      </c>
      <c r="CG18" s="197">
        <v>100</v>
      </c>
      <c r="CH18" s="197">
        <v>0</v>
      </c>
      <c r="CI18" s="197">
        <v>100</v>
      </c>
      <c r="CJ18" s="197">
        <v>3</v>
      </c>
      <c r="CK18" s="197">
        <v>4</v>
      </c>
      <c r="CL18" s="197">
        <v>0</v>
      </c>
      <c r="CM18" s="197">
        <v>6</v>
      </c>
      <c r="CN18" s="197">
        <v>182.61</v>
      </c>
      <c r="CO18" s="197">
        <v>150</v>
      </c>
      <c r="CP18" s="197">
        <v>0</v>
      </c>
      <c r="CQ18" s="197">
        <v>100</v>
      </c>
      <c r="CR18" s="197">
        <v>3</v>
      </c>
      <c r="CS18" s="197">
        <v>4</v>
      </c>
      <c r="CT18" s="197">
        <v>0</v>
      </c>
      <c r="CU18" s="197">
        <v>5</v>
      </c>
      <c r="CV18" s="197">
        <v>152.16999999999999</v>
      </c>
      <c r="CW18" s="197">
        <v>125</v>
      </c>
      <c r="CX18" s="197">
        <v>0</v>
      </c>
      <c r="CY18" s="197">
        <v>100</v>
      </c>
      <c r="CZ18" s="197">
        <v>1</v>
      </c>
      <c r="DA18" s="197">
        <v>1</v>
      </c>
      <c r="DB18" s="197">
        <v>0</v>
      </c>
      <c r="DC18" s="197">
        <v>9</v>
      </c>
      <c r="DD18" s="197">
        <v>1095.6500000000001</v>
      </c>
      <c r="DE18" s="197">
        <v>900</v>
      </c>
      <c r="DF18" s="197">
        <v>1</v>
      </c>
      <c r="DG18" s="197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96" t="s">
        <v>110</v>
      </c>
      <c r="F19" s="196" t="s">
        <v>192</v>
      </c>
      <c r="G19" s="196" t="s">
        <v>128</v>
      </c>
      <c r="H19" s="197">
        <v>7</v>
      </c>
      <c r="I19" s="197">
        <v>8</v>
      </c>
      <c r="J19" s="197">
        <v>0</v>
      </c>
      <c r="K19" s="197">
        <v>8</v>
      </c>
      <c r="L19" s="197">
        <v>121.74</v>
      </c>
      <c r="M19" s="197">
        <v>100</v>
      </c>
      <c r="N19" s="197">
        <v>0</v>
      </c>
      <c r="O19" s="197">
        <v>100</v>
      </c>
      <c r="P19" s="197">
        <v>3</v>
      </c>
      <c r="Q19" s="197">
        <v>4</v>
      </c>
      <c r="R19" s="197">
        <v>0</v>
      </c>
      <c r="S19" s="197">
        <v>2</v>
      </c>
      <c r="T19" s="197">
        <v>60.87</v>
      </c>
      <c r="U19" s="197">
        <v>50</v>
      </c>
      <c r="V19" s="197">
        <v>0</v>
      </c>
      <c r="W19" s="197">
        <v>100</v>
      </c>
      <c r="X19" s="197">
        <v>2</v>
      </c>
      <c r="Y19" s="197">
        <v>2</v>
      </c>
      <c r="Z19" s="197">
        <v>0</v>
      </c>
      <c r="AA19" s="197">
        <v>0</v>
      </c>
      <c r="AB19" s="197">
        <v>0</v>
      </c>
      <c r="AC19" s="197">
        <v>0</v>
      </c>
      <c r="AD19" s="197">
        <v>0</v>
      </c>
      <c r="AE19" s="197">
        <v>100</v>
      </c>
      <c r="AF19" s="197">
        <v>4</v>
      </c>
      <c r="AG19" s="197">
        <v>5</v>
      </c>
      <c r="AH19" s="197">
        <v>0</v>
      </c>
      <c r="AI19" s="197">
        <v>2</v>
      </c>
      <c r="AJ19" s="197">
        <v>151.30000000000001</v>
      </c>
      <c r="AK19" s="197">
        <v>160</v>
      </c>
      <c r="AL19" s="197">
        <v>0</v>
      </c>
      <c r="AM19" s="197">
        <v>100</v>
      </c>
      <c r="AN19" s="197">
        <v>3</v>
      </c>
      <c r="AO19" s="197">
        <v>4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100</v>
      </c>
      <c r="AV19" s="197">
        <v>25</v>
      </c>
      <c r="AW19" s="197">
        <v>30</v>
      </c>
      <c r="AX19" s="197">
        <v>0</v>
      </c>
      <c r="AY19" s="197">
        <v>13</v>
      </c>
      <c r="AZ19" s="197">
        <v>52.75</v>
      </c>
      <c r="BA19" s="197">
        <v>43.33</v>
      </c>
      <c r="BB19" s="197">
        <v>0</v>
      </c>
      <c r="BC19" s="197">
        <v>100</v>
      </c>
      <c r="BD19" s="197">
        <v>4</v>
      </c>
      <c r="BE19" s="197">
        <v>5</v>
      </c>
      <c r="BF19" s="197">
        <v>0</v>
      </c>
      <c r="BG19" s="197">
        <v>1</v>
      </c>
      <c r="BH19" s="197">
        <v>24.35</v>
      </c>
      <c r="BI19" s="197">
        <v>20</v>
      </c>
      <c r="BJ19" s="197">
        <v>0</v>
      </c>
      <c r="BK19" s="197">
        <v>100</v>
      </c>
      <c r="BL19" s="197">
        <v>0</v>
      </c>
      <c r="BM19" s="197">
        <v>0</v>
      </c>
      <c r="BN19" s="197">
        <v>0</v>
      </c>
      <c r="BO19" s="197">
        <v>0</v>
      </c>
      <c r="BP19" s="197">
        <v>100</v>
      </c>
      <c r="BQ19" s="197">
        <v>100</v>
      </c>
      <c r="BR19" s="197">
        <v>0</v>
      </c>
      <c r="BS19" s="197">
        <v>100</v>
      </c>
      <c r="BT19" s="197">
        <v>1</v>
      </c>
      <c r="BU19" s="197">
        <v>1</v>
      </c>
      <c r="BV19" s="197">
        <v>0</v>
      </c>
      <c r="BW19" s="197">
        <v>0</v>
      </c>
      <c r="BX19" s="197">
        <v>0</v>
      </c>
      <c r="BY19" s="197">
        <v>0</v>
      </c>
      <c r="BZ19" s="197">
        <v>0</v>
      </c>
      <c r="CA19" s="197">
        <v>100</v>
      </c>
      <c r="CB19" s="197">
        <v>7</v>
      </c>
      <c r="CC19" s="197">
        <v>9</v>
      </c>
      <c r="CD19" s="197">
        <v>0</v>
      </c>
      <c r="CE19" s="197">
        <v>0</v>
      </c>
      <c r="CF19" s="197">
        <v>0</v>
      </c>
      <c r="CG19" s="197">
        <v>0</v>
      </c>
      <c r="CH19" s="197">
        <v>0</v>
      </c>
      <c r="CI19" s="197">
        <v>100</v>
      </c>
      <c r="CJ19" s="197">
        <v>4</v>
      </c>
      <c r="CK19" s="197">
        <v>5</v>
      </c>
      <c r="CL19" s="197">
        <v>0</v>
      </c>
      <c r="CM19" s="197">
        <v>3</v>
      </c>
      <c r="CN19" s="197">
        <v>73.040000000000006</v>
      </c>
      <c r="CO19" s="197">
        <v>60</v>
      </c>
      <c r="CP19" s="197">
        <v>0</v>
      </c>
      <c r="CQ19" s="197">
        <v>100</v>
      </c>
      <c r="CR19" s="197">
        <v>2</v>
      </c>
      <c r="CS19" s="197">
        <v>3</v>
      </c>
      <c r="CT19" s="197">
        <v>0</v>
      </c>
      <c r="CU19" s="197">
        <v>1</v>
      </c>
      <c r="CV19" s="197">
        <v>40.58</v>
      </c>
      <c r="CW19" s="197">
        <v>33.33</v>
      </c>
      <c r="CX19" s="197">
        <v>0</v>
      </c>
      <c r="CY19" s="197">
        <v>100</v>
      </c>
      <c r="CZ19" s="197">
        <v>1</v>
      </c>
      <c r="DA19" s="197">
        <v>1</v>
      </c>
      <c r="DB19" s="197">
        <v>0</v>
      </c>
      <c r="DC19" s="197">
        <v>1</v>
      </c>
      <c r="DD19" s="197">
        <v>121.74</v>
      </c>
      <c r="DE19" s="197">
        <v>100</v>
      </c>
      <c r="DF19" s="197">
        <v>0</v>
      </c>
      <c r="DG19" s="197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96" t="s">
        <v>113</v>
      </c>
      <c r="F20" s="196" t="s">
        <v>193</v>
      </c>
      <c r="G20" s="196" t="s">
        <v>129</v>
      </c>
      <c r="H20" s="197">
        <v>6</v>
      </c>
      <c r="I20" s="197">
        <v>7</v>
      </c>
      <c r="J20" s="197">
        <v>1</v>
      </c>
      <c r="K20" s="197">
        <v>7</v>
      </c>
      <c r="L20" s="197">
        <v>121.74</v>
      </c>
      <c r="M20" s="197">
        <v>100</v>
      </c>
      <c r="N20" s="197">
        <v>0</v>
      </c>
      <c r="O20" s="197">
        <v>100</v>
      </c>
      <c r="P20" s="197">
        <v>3</v>
      </c>
      <c r="Q20" s="197">
        <v>4</v>
      </c>
      <c r="R20" s="197">
        <v>0</v>
      </c>
      <c r="S20" s="197">
        <v>5</v>
      </c>
      <c r="T20" s="197">
        <v>152.16999999999999</v>
      </c>
      <c r="U20" s="197">
        <v>125</v>
      </c>
      <c r="V20" s="197">
        <v>0</v>
      </c>
      <c r="W20" s="197">
        <v>100</v>
      </c>
      <c r="X20" s="197">
        <v>2</v>
      </c>
      <c r="Y20" s="197">
        <v>2</v>
      </c>
      <c r="Z20" s="197">
        <v>0</v>
      </c>
      <c r="AA20" s="197">
        <v>0</v>
      </c>
      <c r="AB20" s="197">
        <v>0</v>
      </c>
      <c r="AC20" s="197">
        <v>0</v>
      </c>
      <c r="AD20" s="197">
        <v>0</v>
      </c>
      <c r="AE20" s="197">
        <v>100</v>
      </c>
      <c r="AF20" s="197">
        <v>3</v>
      </c>
      <c r="AG20" s="197">
        <v>4</v>
      </c>
      <c r="AH20" s="197">
        <v>0</v>
      </c>
      <c r="AI20" s="197">
        <v>0</v>
      </c>
      <c r="AJ20" s="197">
        <v>200</v>
      </c>
      <c r="AK20" s="197">
        <v>200</v>
      </c>
      <c r="AL20" s="197">
        <v>0</v>
      </c>
      <c r="AM20" s="197">
        <v>100</v>
      </c>
      <c r="AN20" s="197">
        <v>3</v>
      </c>
      <c r="AO20" s="197">
        <v>4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100</v>
      </c>
      <c r="AV20" s="197">
        <v>25</v>
      </c>
      <c r="AW20" s="197">
        <v>30</v>
      </c>
      <c r="AX20" s="197">
        <v>0</v>
      </c>
      <c r="AY20" s="197">
        <v>51</v>
      </c>
      <c r="AZ20" s="197">
        <v>206.96</v>
      </c>
      <c r="BA20" s="197">
        <v>170</v>
      </c>
      <c r="BB20" s="197">
        <v>0</v>
      </c>
      <c r="BC20" s="197">
        <v>100</v>
      </c>
      <c r="BD20" s="197">
        <v>4</v>
      </c>
      <c r="BE20" s="197">
        <v>5</v>
      </c>
      <c r="BF20" s="197">
        <v>1</v>
      </c>
      <c r="BG20" s="197">
        <v>2</v>
      </c>
      <c r="BH20" s="197">
        <v>48.7</v>
      </c>
      <c r="BI20" s="197">
        <v>40</v>
      </c>
      <c r="BJ20" s="197">
        <v>0</v>
      </c>
      <c r="BK20" s="197">
        <v>100</v>
      </c>
      <c r="BL20" s="197">
        <v>0</v>
      </c>
      <c r="BM20" s="197">
        <v>0</v>
      </c>
      <c r="BN20" s="197">
        <v>0</v>
      </c>
      <c r="BO20" s="197">
        <v>0</v>
      </c>
      <c r="BP20" s="197">
        <v>100</v>
      </c>
      <c r="BQ20" s="197">
        <v>100</v>
      </c>
      <c r="BR20" s="197">
        <v>0</v>
      </c>
      <c r="BS20" s="197">
        <v>100</v>
      </c>
      <c r="BT20" s="197">
        <v>1</v>
      </c>
      <c r="BU20" s="197">
        <v>1</v>
      </c>
      <c r="BV20" s="197">
        <v>0</v>
      </c>
      <c r="BW20" s="197">
        <v>0</v>
      </c>
      <c r="BX20" s="197">
        <v>0</v>
      </c>
      <c r="BY20" s="197">
        <v>0</v>
      </c>
      <c r="BZ20" s="197">
        <v>0</v>
      </c>
      <c r="CA20" s="197">
        <v>100</v>
      </c>
      <c r="CB20" s="197">
        <v>7</v>
      </c>
      <c r="CC20" s="197">
        <v>8</v>
      </c>
      <c r="CD20" s="197">
        <v>0</v>
      </c>
      <c r="CE20" s="197">
        <v>5</v>
      </c>
      <c r="CF20" s="197">
        <v>76.09</v>
      </c>
      <c r="CG20" s="197">
        <v>62.5</v>
      </c>
      <c r="CH20" s="197">
        <v>0</v>
      </c>
      <c r="CI20" s="197">
        <v>100</v>
      </c>
      <c r="CJ20" s="197">
        <v>3</v>
      </c>
      <c r="CK20" s="197">
        <v>4</v>
      </c>
      <c r="CL20" s="197">
        <v>0</v>
      </c>
      <c r="CM20" s="197">
        <v>2</v>
      </c>
      <c r="CN20" s="197">
        <v>60.87</v>
      </c>
      <c r="CO20" s="197">
        <v>50</v>
      </c>
      <c r="CP20" s="197">
        <v>1</v>
      </c>
      <c r="CQ20" s="197">
        <v>100</v>
      </c>
      <c r="CR20" s="197">
        <v>3</v>
      </c>
      <c r="CS20" s="197">
        <v>4</v>
      </c>
      <c r="CT20" s="197">
        <v>0</v>
      </c>
      <c r="CU20" s="197">
        <v>4</v>
      </c>
      <c r="CV20" s="197">
        <v>121.74</v>
      </c>
      <c r="CW20" s="197">
        <v>100</v>
      </c>
      <c r="CX20" s="197">
        <v>0</v>
      </c>
      <c r="CY20" s="197">
        <v>100</v>
      </c>
      <c r="CZ20" s="197">
        <v>1</v>
      </c>
      <c r="DA20" s="197">
        <v>1</v>
      </c>
      <c r="DB20" s="197">
        <v>0</v>
      </c>
      <c r="DC20" s="197">
        <v>1</v>
      </c>
      <c r="DD20" s="197">
        <v>121.74</v>
      </c>
      <c r="DE20" s="197">
        <v>100</v>
      </c>
      <c r="DF20" s="197">
        <v>0</v>
      </c>
      <c r="DG20" s="197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96" t="s">
        <v>115</v>
      </c>
      <c r="F21" s="196" t="s">
        <v>194</v>
      </c>
      <c r="G21" s="196" t="s">
        <v>179</v>
      </c>
      <c r="H21" s="197">
        <v>4</v>
      </c>
      <c r="I21" s="197">
        <v>5</v>
      </c>
      <c r="J21" s="197">
        <v>0</v>
      </c>
      <c r="K21" s="197">
        <v>3</v>
      </c>
      <c r="L21" s="197">
        <v>73.040000000000006</v>
      </c>
      <c r="M21" s="197">
        <v>60</v>
      </c>
      <c r="N21" s="197">
        <v>1</v>
      </c>
      <c r="O21" s="197">
        <v>200</v>
      </c>
      <c r="P21" s="197">
        <v>2</v>
      </c>
      <c r="Q21" s="197">
        <v>3</v>
      </c>
      <c r="R21" s="197">
        <v>0</v>
      </c>
      <c r="S21" s="197">
        <v>3</v>
      </c>
      <c r="T21" s="197">
        <v>121.74</v>
      </c>
      <c r="U21" s="197">
        <v>100</v>
      </c>
      <c r="V21" s="197">
        <v>1</v>
      </c>
      <c r="W21" s="197">
        <v>200</v>
      </c>
      <c r="X21" s="197">
        <v>2</v>
      </c>
      <c r="Y21" s="197">
        <v>2</v>
      </c>
      <c r="Z21" s="197">
        <v>0</v>
      </c>
      <c r="AA21" s="197">
        <v>0</v>
      </c>
      <c r="AB21" s="197">
        <v>0</v>
      </c>
      <c r="AC21" s="197">
        <v>0</v>
      </c>
      <c r="AD21" s="197">
        <v>0</v>
      </c>
      <c r="AE21" s="197">
        <v>100</v>
      </c>
      <c r="AF21" s="197">
        <v>2</v>
      </c>
      <c r="AG21" s="197">
        <v>3</v>
      </c>
      <c r="AH21" s="197">
        <v>0</v>
      </c>
      <c r="AI21" s="197">
        <v>1</v>
      </c>
      <c r="AJ21" s="197">
        <v>159.41999999999999</v>
      </c>
      <c r="AK21" s="197">
        <v>166.67</v>
      </c>
      <c r="AL21" s="197">
        <v>1</v>
      </c>
      <c r="AM21" s="197">
        <v>0</v>
      </c>
      <c r="AN21" s="197">
        <v>3</v>
      </c>
      <c r="AO21" s="197">
        <v>4</v>
      </c>
      <c r="AP21" s="197">
        <v>0</v>
      </c>
      <c r="AQ21" s="197">
        <v>0</v>
      </c>
      <c r="AR21" s="197">
        <v>0</v>
      </c>
      <c r="AS21" s="197">
        <v>0</v>
      </c>
      <c r="AT21" s="197">
        <v>0</v>
      </c>
      <c r="AU21" s="197">
        <v>100</v>
      </c>
      <c r="AV21" s="197">
        <v>16</v>
      </c>
      <c r="AW21" s="197">
        <v>20</v>
      </c>
      <c r="AX21" s="197">
        <v>0</v>
      </c>
      <c r="AY21" s="197">
        <v>15</v>
      </c>
      <c r="AZ21" s="197">
        <v>91.3</v>
      </c>
      <c r="BA21" s="197">
        <v>75</v>
      </c>
      <c r="BB21" s="197">
        <v>0</v>
      </c>
      <c r="BC21" s="197">
        <v>100</v>
      </c>
      <c r="BD21" s="197">
        <v>4</v>
      </c>
      <c r="BE21" s="197">
        <v>5</v>
      </c>
      <c r="BF21" s="197">
        <v>1</v>
      </c>
      <c r="BG21" s="197">
        <v>1</v>
      </c>
      <c r="BH21" s="197">
        <v>24.35</v>
      </c>
      <c r="BI21" s="197">
        <v>20</v>
      </c>
      <c r="BJ21" s="197">
        <v>0</v>
      </c>
      <c r="BK21" s="197">
        <v>100</v>
      </c>
      <c r="BL21" s="197">
        <v>0</v>
      </c>
      <c r="BM21" s="197">
        <v>0</v>
      </c>
      <c r="BN21" s="197">
        <v>0</v>
      </c>
      <c r="BO21" s="197">
        <v>0</v>
      </c>
      <c r="BP21" s="197">
        <v>100</v>
      </c>
      <c r="BQ21" s="197">
        <v>100</v>
      </c>
      <c r="BR21" s="197">
        <v>0</v>
      </c>
      <c r="BS21" s="197">
        <v>100</v>
      </c>
      <c r="BT21" s="197">
        <v>1</v>
      </c>
      <c r="BU21" s="197">
        <v>1</v>
      </c>
      <c r="BV21" s="197">
        <v>0</v>
      </c>
      <c r="BW21" s="197">
        <v>0</v>
      </c>
      <c r="BX21" s="197">
        <v>0</v>
      </c>
      <c r="BY21" s="197">
        <v>0</v>
      </c>
      <c r="BZ21" s="197">
        <v>0</v>
      </c>
      <c r="CA21" s="197">
        <v>100</v>
      </c>
      <c r="CB21" s="197">
        <v>7</v>
      </c>
      <c r="CC21" s="197">
        <v>8</v>
      </c>
      <c r="CD21" s="197">
        <v>0</v>
      </c>
      <c r="CE21" s="197">
        <v>1</v>
      </c>
      <c r="CF21" s="197">
        <v>15.22</v>
      </c>
      <c r="CG21" s="197">
        <v>12.5</v>
      </c>
      <c r="CH21" s="197">
        <v>0</v>
      </c>
      <c r="CI21" s="197">
        <v>100</v>
      </c>
      <c r="CJ21" s="197">
        <v>3</v>
      </c>
      <c r="CK21" s="197">
        <v>4</v>
      </c>
      <c r="CL21" s="197">
        <v>0</v>
      </c>
      <c r="CM21" s="197">
        <v>3</v>
      </c>
      <c r="CN21" s="197">
        <v>91.3</v>
      </c>
      <c r="CO21" s="197">
        <v>75</v>
      </c>
      <c r="CP21" s="197">
        <v>0</v>
      </c>
      <c r="CQ21" s="197">
        <v>100</v>
      </c>
      <c r="CR21" s="197">
        <v>2</v>
      </c>
      <c r="CS21" s="197">
        <v>3</v>
      </c>
      <c r="CT21" s="197">
        <v>0</v>
      </c>
      <c r="CU21" s="197">
        <v>2</v>
      </c>
      <c r="CV21" s="197">
        <v>81.16</v>
      </c>
      <c r="CW21" s="197">
        <v>66.67</v>
      </c>
      <c r="CX21" s="197">
        <v>0</v>
      </c>
      <c r="CY21" s="197">
        <v>100</v>
      </c>
      <c r="CZ21" s="197">
        <v>1</v>
      </c>
      <c r="DA21" s="197">
        <v>1</v>
      </c>
      <c r="DB21" s="197">
        <v>0</v>
      </c>
      <c r="DC21" s="197">
        <v>2</v>
      </c>
      <c r="DD21" s="197">
        <v>243.48</v>
      </c>
      <c r="DE21" s="197">
        <v>200</v>
      </c>
      <c r="DF21" s="197">
        <v>1</v>
      </c>
      <c r="DG21" s="197">
        <v>100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96" t="s">
        <v>117</v>
      </c>
      <c r="F22" s="196" t="s">
        <v>195</v>
      </c>
      <c r="G22" s="196" t="s">
        <v>128</v>
      </c>
      <c r="H22" s="197">
        <v>7</v>
      </c>
      <c r="I22" s="197">
        <v>8</v>
      </c>
      <c r="J22" s="197">
        <v>0</v>
      </c>
      <c r="K22" s="197">
        <v>8</v>
      </c>
      <c r="L22" s="197">
        <v>121.74</v>
      </c>
      <c r="M22" s="197">
        <v>100</v>
      </c>
      <c r="N22" s="197">
        <v>0</v>
      </c>
      <c r="O22" s="197">
        <v>100</v>
      </c>
      <c r="P22" s="197">
        <v>3</v>
      </c>
      <c r="Q22" s="197">
        <v>4</v>
      </c>
      <c r="R22" s="197">
        <v>0</v>
      </c>
      <c r="S22" s="197">
        <v>6</v>
      </c>
      <c r="T22" s="197">
        <v>182.61</v>
      </c>
      <c r="U22" s="197">
        <v>150</v>
      </c>
      <c r="V22" s="197">
        <v>0</v>
      </c>
      <c r="W22" s="197">
        <v>100</v>
      </c>
      <c r="X22" s="197">
        <v>2</v>
      </c>
      <c r="Y22" s="197">
        <v>3</v>
      </c>
      <c r="Z22" s="197">
        <v>0</v>
      </c>
      <c r="AA22" s="197">
        <v>0</v>
      </c>
      <c r="AB22" s="197">
        <v>0</v>
      </c>
      <c r="AC22" s="197">
        <v>0</v>
      </c>
      <c r="AD22" s="197">
        <v>5</v>
      </c>
      <c r="AE22" s="197">
        <v>-100</v>
      </c>
      <c r="AF22" s="197">
        <v>4</v>
      </c>
      <c r="AG22" s="197">
        <v>5</v>
      </c>
      <c r="AH22" s="197">
        <v>0</v>
      </c>
      <c r="AI22" s="197">
        <v>0</v>
      </c>
      <c r="AJ22" s="197">
        <v>200</v>
      </c>
      <c r="AK22" s="197">
        <v>200</v>
      </c>
      <c r="AL22" s="197">
        <v>0</v>
      </c>
      <c r="AM22" s="197">
        <v>100</v>
      </c>
      <c r="AN22" s="197">
        <v>3</v>
      </c>
      <c r="AO22" s="197">
        <v>4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100</v>
      </c>
      <c r="AV22" s="197">
        <v>25</v>
      </c>
      <c r="AW22" s="197">
        <v>30</v>
      </c>
      <c r="AX22" s="197">
        <v>0</v>
      </c>
      <c r="AY22" s="197">
        <v>61</v>
      </c>
      <c r="AZ22" s="197">
        <v>247.54</v>
      </c>
      <c r="BA22" s="197">
        <v>203.33</v>
      </c>
      <c r="BB22" s="197">
        <v>0</v>
      </c>
      <c r="BC22" s="197">
        <v>100</v>
      </c>
      <c r="BD22" s="197">
        <v>4</v>
      </c>
      <c r="BE22" s="197">
        <v>5</v>
      </c>
      <c r="BF22" s="197">
        <v>0</v>
      </c>
      <c r="BG22" s="197">
        <v>3</v>
      </c>
      <c r="BH22" s="197">
        <v>73.040000000000006</v>
      </c>
      <c r="BI22" s="197">
        <v>60</v>
      </c>
      <c r="BJ22" s="197">
        <v>0</v>
      </c>
      <c r="BK22" s="197">
        <v>100</v>
      </c>
      <c r="BL22" s="197">
        <v>0</v>
      </c>
      <c r="BM22" s="197">
        <v>0</v>
      </c>
      <c r="BN22" s="197">
        <v>0</v>
      </c>
      <c r="BO22" s="197">
        <v>2</v>
      </c>
      <c r="BP22" s="197">
        <v>100</v>
      </c>
      <c r="BQ22" s="197">
        <v>100</v>
      </c>
      <c r="BR22" s="197">
        <v>0</v>
      </c>
      <c r="BS22" s="197">
        <v>100</v>
      </c>
      <c r="BT22" s="197">
        <v>1</v>
      </c>
      <c r="BU22" s="197">
        <v>1</v>
      </c>
      <c r="BV22" s="197">
        <v>0</v>
      </c>
      <c r="BW22" s="197">
        <v>2</v>
      </c>
      <c r="BX22" s="197">
        <v>243.48</v>
      </c>
      <c r="BY22" s="197">
        <v>200</v>
      </c>
      <c r="BZ22" s="197">
        <v>0</v>
      </c>
      <c r="CA22" s="197">
        <v>100</v>
      </c>
      <c r="CB22" s="197">
        <v>7</v>
      </c>
      <c r="CC22" s="197">
        <v>9</v>
      </c>
      <c r="CD22" s="197">
        <v>0</v>
      </c>
      <c r="CE22" s="197">
        <v>11</v>
      </c>
      <c r="CF22" s="197">
        <v>148.79</v>
      </c>
      <c r="CG22" s="197">
        <v>122.22</v>
      </c>
      <c r="CH22" s="197">
        <v>0</v>
      </c>
      <c r="CI22" s="197">
        <v>100</v>
      </c>
      <c r="CJ22" s="197">
        <v>4</v>
      </c>
      <c r="CK22" s="197">
        <v>5</v>
      </c>
      <c r="CL22" s="197">
        <v>0</v>
      </c>
      <c r="CM22" s="197">
        <v>3</v>
      </c>
      <c r="CN22" s="197">
        <v>73.040000000000006</v>
      </c>
      <c r="CO22" s="197">
        <v>60</v>
      </c>
      <c r="CP22" s="197">
        <v>0</v>
      </c>
      <c r="CQ22" s="197">
        <v>100</v>
      </c>
      <c r="CR22" s="197">
        <v>3</v>
      </c>
      <c r="CS22" s="197">
        <v>4</v>
      </c>
      <c r="CT22" s="197">
        <v>0</v>
      </c>
      <c r="CU22" s="197">
        <v>4</v>
      </c>
      <c r="CV22" s="197">
        <v>121.74</v>
      </c>
      <c r="CW22" s="197">
        <v>100</v>
      </c>
      <c r="CX22" s="197">
        <v>0</v>
      </c>
      <c r="CY22" s="197">
        <v>100</v>
      </c>
      <c r="CZ22" s="197">
        <v>1</v>
      </c>
      <c r="DA22" s="197">
        <v>1</v>
      </c>
      <c r="DB22" s="197">
        <v>0</v>
      </c>
      <c r="DC22" s="197">
        <v>2</v>
      </c>
      <c r="DD22" s="197">
        <v>243.48</v>
      </c>
      <c r="DE22" s="197">
        <v>200</v>
      </c>
      <c r="DF22" s="197">
        <v>0</v>
      </c>
      <c r="DG22" s="197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96" t="s">
        <v>119</v>
      </c>
      <c r="F23" s="196" t="s">
        <v>196</v>
      </c>
      <c r="G23" s="196" t="s">
        <v>129</v>
      </c>
      <c r="H23" s="197">
        <v>6</v>
      </c>
      <c r="I23" s="197">
        <v>7</v>
      </c>
      <c r="J23" s="197">
        <v>0</v>
      </c>
      <c r="K23" s="197">
        <v>11</v>
      </c>
      <c r="L23" s="197">
        <v>191.3</v>
      </c>
      <c r="M23" s="197">
        <v>157.13999999999999</v>
      </c>
      <c r="N23" s="197">
        <v>0</v>
      </c>
      <c r="O23" s="197">
        <v>100</v>
      </c>
      <c r="P23" s="197">
        <v>3</v>
      </c>
      <c r="Q23" s="197">
        <v>4</v>
      </c>
      <c r="R23" s="197">
        <v>0</v>
      </c>
      <c r="S23" s="197">
        <v>5</v>
      </c>
      <c r="T23" s="197">
        <v>152.16999999999999</v>
      </c>
      <c r="U23" s="197">
        <v>125</v>
      </c>
      <c r="V23" s="197">
        <v>0</v>
      </c>
      <c r="W23" s="197">
        <v>100</v>
      </c>
      <c r="X23" s="197">
        <v>2</v>
      </c>
      <c r="Y23" s="197">
        <v>3</v>
      </c>
      <c r="Z23" s="197">
        <v>0</v>
      </c>
      <c r="AA23" s="197">
        <v>0</v>
      </c>
      <c r="AB23" s="197">
        <v>0</v>
      </c>
      <c r="AC23" s="197">
        <v>0</v>
      </c>
      <c r="AD23" s="197">
        <v>1</v>
      </c>
      <c r="AE23" s="197">
        <v>-100</v>
      </c>
      <c r="AF23" s="197">
        <v>4</v>
      </c>
      <c r="AG23" s="197">
        <v>5</v>
      </c>
      <c r="AH23" s="197">
        <v>0</v>
      </c>
      <c r="AI23" s="197">
        <v>0</v>
      </c>
      <c r="AJ23" s="197">
        <v>200</v>
      </c>
      <c r="AK23" s="197">
        <v>200</v>
      </c>
      <c r="AL23" s="197">
        <v>2</v>
      </c>
      <c r="AM23" s="197">
        <v>-100</v>
      </c>
      <c r="AN23" s="197">
        <v>3</v>
      </c>
      <c r="AO23" s="197">
        <v>4</v>
      </c>
      <c r="AP23" s="197">
        <v>0</v>
      </c>
      <c r="AQ23" s="197">
        <v>0</v>
      </c>
      <c r="AR23" s="197">
        <v>0</v>
      </c>
      <c r="AS23" s="197">
        <v>0</v>
      </c>
      <c r="AT23" s="197">
        <v>0</v>
      </c>
      <c r="AU23" s="197">
        <v>100</v>
      </c>
      <c r="AV23" s="197">
        <v>49</v>
      </c>
      <c r="AW23" s="197">
        <v>60</v>
      </c>
      <c r="AX23" s="197">
        <v>0</v>
      </c>
      <c r="AY23" s="197">
        <v>171</v>
      </c>
      <c r="AZ23" s="197">
        <v>346.96</v>
      </c>
      <c r="BA23" s="197">
        <v>285</v>
      </c>
      <c r="BB23" s="197">
        <v>0</v>
      </c>
      <c r="BC23" s="197">
        <v>100</v>
      </c>
      <c r="BD23" s="197">
        <v>4</v>
      </c>
      <c r="BE23" s="197">
        <v>5</v>
      </c>
      <c r="BF23" s="197">
        <v>1</v>
      </c>
      <c r="BG23" s="197">
        <v>4</v>
      </c>
      <c r="BH23" s="197">
        <v>97.39</v>
      </c>
      <c r="BI23" s="197">
        <v>80</v>
      </c>
      <c r="BJ23" s="197">
        <v>0</v>
      </c>
      <c r="BK23" s="197">
        <v>100</v>
      </c>
      <c r="BL23" s="197">
        <v>0</v>
      </c>
      <c r="BM23" s="197">
        <v>0</v>
      </c>
      <c r="BN23" s="197">
        <v>0</v>
      </c>
      <c r="BO23" s="197">
        <v>2</v>
      </c>
      <c r="BP23" s="197">
        <v>100</v>
      </c>
      <c r="BQ23" s="197">
        <v>100</v>
      </c>
      <c r="BR23" s="197">
        <v>0</v>
      </c>
      <c r="BS23" s="197">
        <v>100</v>
      </c>
      <c r="BT23" s="197">
        <v>1</v>
      </c>
      <c r="BU23" s="197">
        <v>1</v>
      </c>
      <c r="BV23" s="197">
        <v>0</v>
      </c>
      <c r="BW23" s="197">
        <v>1</v>
      </c>
      <c r="BX23" s="197">
        <v>121.74</v>
      </c>
      <c r="BY23" s="197">
        <v>100</v>
      </c>
      <c r="BZ23" s="197">
        <v>0</v>
      </c>
      <c r="CA23" s="197">
        <v>100</v>
      </c>
      <c r="CB23" s="197">
        <v>7</v>
      </c>
      <c r="CC23" s="197">
        <v>8</v>
      </c>
      <c r="CD23" s="197">
        <v>0</v>
      </c>
      <c r="CE23" s="197">
        <v>21</v>
      </c>
      <c r="CF23" s="197">
        <v>319.57</v>
      </c>
      <c r="CG23" s="197">
        <v>262.5</v>
      </c>
      <c r="CH23" s="197">
        <v>0</v>
      </c>
      <c r="CI23" s="197">
        <v>100</v>
      </c>
      <c r="CJ23" s="197">
        <v>3</v>
      </c>
      <c r="CK23" s="197">
        <v>4</v>
      </c>
      <c r="CL23" s="197">
        <v>0</v>
      </c>
      <c r="CM23" s="197">
        <v>5</v>
      </c>
      <c r="CN23" s="197">
        <v>152.16999999999999</v>
      </c>
      <c r="CO23" s="197">
        <v>125</v>
      </c>
      <c r="CP23" s="197">
        <v>0</v>
      </c>
      <c r="CQ23" s="197">
        <v>100</v>
      </c>
      <c r="CR23" s="197">
        <v>3</v>
      </c>
      <c r="CS23" s="197">
        <v>4</v>
      </c>
      <c r="CT23" s="197">
        <v>0</v>
      </c>
      <c r="CU23" s="197">
        <v>8</v>
      </c>
      <c r="CV23" s="197">
        <v>243.48</v>
      </c>
      <c r="CW23" s="197">
        <v>200</v>
      </c>
      <c r="CX23" s="197">
        <v>0</v>
      </c>
      <c r="CY23" s="197">
        <v>100</v>
      </c>
      <c r="CZ23" s="197">
        <v>1</v>
      </c>
      <c r="DA23" s="197">
        <v>1</v>
      </c>
      <c r="DB23" s="197">
        <v>0</v>
      </c>
      <c r="DC23" s="197">
        <v>21</v>
      </c>
      <c r="DD23" s="197">
        <v>2556.52</v>
      </c>
      <c r="DE23" s="197">
        <v>2100</v>
      </c>
      <c r="DF23" s="197">
        <v>2</v>
      </c>
      <c r="DG23" s="197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96" t="s">
        <v>121</v>
      </c>
      <c r="F24" s="196" t="s">
        <v>197</v>
      </c>
      <c r="G24" s="196" t="s">
        <v>179</v>
      </c>
      <c r="H24" s="197">
        <v>2</v>
      </c>
      <c r="I24" s="197">
        <v>3</v>
      </c>
      <c r="J24" s="197">
        <v>0</v>
      </c>
      <c r="K24" s="197">
        <v>4</v>
      </c>
      <c r="L24" s="197">
        <v>162.32</v>
      </c>
      <c r="M24" s="197">
        <v>133.33000000000001</v>
      </c>
      <c r="N24" s="197">
        <v>0</v>
      </c>
      <c r="O24" s="197">
        <v>100</v>
      </c>
      <c r="P24" s="197">
        <v>2</v>
      </c>
      <c r="Q24" s="197">
        <v>2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100</v>
      </c>
      <c r="X24" s="197">
        <v>1</v>
      </c>
      <c r="Y24" s="197">
        <v>1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100</v>
      </c>
      <c r="AF24" s="197">
        <v>2</v>
      </c>
      <c r="AG24" s="197">
        <v>3</v>
      </c>
      <c r="AH24" s="197">
        <v>0</v>
      </c>
      <c r="AI24" s="197">
        <v>0</v>
      </c>
      <c r="AJ24" s="197">
        <v>200</v>
      </c>
      <c r="AK24" s="197">
        <v>200</v>
      </c>
      <c r="AL24" s="197">
        <v>4</v>
      </c>
      <c r="AM24" s="197">
        <v>-100</v>
      </c>
      <c r="AN24" s="197">
        <v>2</v>
      </c>
      <c r="AO24" s="197">
        <v>3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100</v>
      </c>
      <c r="AV24" s="197">
        <v>12</v>
      </c>
      <c r="AW24" s="197">
        <v>14</v>
      </c>
      <c r="AX24" s="197">
        <v>0</v>
      </c>
      <c r="AY24" s="197">
        <v>3</v>
      </c>
      <c r="AZ24" s="197">
        <v>26.09</v>
      </c>
      <c r="BA24" s="197">
        <v>21.43</v>
      </c>
      <c r="BB24" s="197">
        <v>0</v>
      </c>
      <c r="BC24" s="197">
        <v>100</v>
      </c>
      <c r="BD24" s="197">
        <v>2</v>
      </c>
      <c r="BE24" s="197">
        <v>2</v>
      </c>
      <c r="BF24" s="197">
        <v>1</v>
      </c>
      <c r="BG24" s="197">
        <v>2</v>
      </c>
      <c r="BH24" s="197">
        <v>121.74</v>
      </c>
      <c r="BI24" s="197">
        <v>100</v>
      </c>
      <c r="BJ24" s="197">
        <v>0</v>
      </c>
      <c r="BK24" s="197">
        <v>100</v>
      </c>
      <c r="BL24" s="197">
        <v>0</v>
      </c>
      <c r="BM24" s="197">
        <v>0</v>
      </c>
      <c r="BN24" s="197">
        <v>0</v>
      </c>
      <c r="BO24" s="197">
        <v>0</v>
      </c>
      <c r="BP24" s="197">
        <v>100</v>
      </c>
      <c r="BQ24" s="197">
        <v>100</v>
      </c>
      <c r="BR24" s="197">
        <v>0</v>
      </c>
      <c r="BS24" s="197">
        <v>100</v>
      </c>
      <c r="BT24" s="197">
        <v>1</v>
      </c>
      <c r="BU24" s="197">
        <v>1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100</v>
      </c>
      <c r="CB24" s="197">
        <v>4</v>
      </c>
      <c r="CC24" s="197">
        <v>5</v>
      </c>
      <c r="CD24" s="197">
        <v>0</v>
      </c>
      <c r="CE24" s="197">
        <v>0</v>
      </c>
      <c r="CF24" s="197">
        <v>0</v>
      </c>
      <c r="CG24" s="197">
        <v>0</v>
      </c>
      <c r="CH24" s="197">
        <v>0</v>
      </c>
      <c r="CI24" s="197">
        <v>100</v>
      </c>
      <c r="CJ24" s="197">
        <v>2</v>
      </c>
      <c r="CK24" s="197">
        <v>3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100</v>
      </c>
      <c r="CR24" s="197">
        <v>2</v>
      </c>
      <c r="CS24" s="197">
        <v>3</v>
      </c>
      <c r="CT24" s="197">
        <v>0</v>
      </c>
      <c r="CU24" s="197">
        <v>2</v>
      </c>
      <c r="CV24" s="197">
        <v>81.16</v>
      </c>
      <c r="CW24" s="197">
        <v>66.67</v>
      </c>
      <c r="CX24" s="197">
        <v>0</v>
      </c>
      <c r="CY24" s="197">
        <v>100</v>
      </c>
      <c r="CZ24" s="197">
        <v>1</v>
      </c>
      <c r="DA24" s="197">
        <v>1</v>
      </c>
      <c r="DB24" s="197">
        <v>0</v>
      </c>
      <c r="DC24" s="197">
        <v>0</v>
      </c>
      <c r="DD24" s="197">
        <v>0</v>
      </c>
      <c r="DE24" s="197">
        <v>0</v>
      </c>
      <c r="DF24" s="197">
        <v>0</v>
      </c>
      <c r="DG24" s="197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96" t="s">
        <v>276</v>
      </c>
      <c r="F25" s="196" t="s">
        <v>277</v>
      </c>
      <c r="G25" s="196" t="s">
        <v>128</v>
      </c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7">
        <v>1117</v>
      </c>
      <c r="AW25" s="197">
        <v>1360</v>
      </c>
      <c r="AX25" s="197">
        <v>0</v>
      </c>
      <c r="AY25" s="197">
        <v>0</v>
      </c>
      <c r="AZ25" s="197">
        <v>0</v>
      </c>
      <c r="BA25" s="197">
        <v>0</v>
      </c>
      <c r="BB25" s="197">
        <v>0</v>
      </c>
      <c r="BC25" s="197">
        <v>100</v>
      </c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7">
        <v>5</v>
      </c>
      <c r="BU25" s="197">
        <v>6</v>
      </c>
      <c r="BV25" s="197">
        <v>0</v>
      </c>
      <c r="BW25" s="197">
        <v>0</v>
      </c>
      <c r="BX25" s="197">
        <v>0</v>
      </c>
      <c r="BY25" s="197">
        <v>0</v>
      </c>
      <c r="BZ25" s="197">
        <v>0</v>
      </c>
      <c r="CA25" s="197">
        <v>100</v>
      </c>
      <c r="CB25" s="197">
        <v>99</v>
      </c>
      <c r="CC25" s="197">
        <v>120</v>
      </c>
      <c r="CD25" s="197">
        <v>0</v>
      </c>
      <c r="CE25" s="197">
        <v>0</v>
      </c>
      <c r="CF25" s="197">
        <v>0</v>
      </c>
      <c r="CG25" s="197">
        <v>0</v>
      </c>
      <c r="CH25" s="197">
        <v>0</v>
      </c>
      <c r="CI25" s="197">
        <v>100</v>
      </c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7">
        <v>211</v>
      </c>
      <c r="DA25" s="197">
        <v>257</v>
      </c>
      <c r="DB25" s="197">
        <v>0</v>
      </c>
      <c r="DC25" s="197">
        <v>0</v>
      </c>
      <c r="DD25" s="197">
        <v>0</v>
      </c>
      <c r="DE25" s="197">
        <v>0</v>
      </c>
      <c r="DF25" s="197">
        <v>0</v>
      </c>
      <c r="DG25" s="197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96" t="s">
        <v>280</v>
      </c>
      <c r="F26" s="196" t="s">
        <v>281</v>
      </c>
      <c r="G26" s="196" t="s">
        <v>129</v>
      </c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7">
        <v>0</v>
      </c>
      <c r="Y26" s="197">
        <v>0</v>
      </c>
      <c r="Z26" s="197">
        <v>0</v>
      </c>
      <c r="AA26" s="197">
        <v>1</v>
      </c>
      <c r="AB26" s="197">
        <v>100</v>
      </c>
      <c r="AC26" s="197">
        <v>100</v>
      </c>
      <c r="AD26" s="197">
        <v>2</v>
      </c>
      <c r="AE26" s="197">
        <v>-50</v>
      </c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96" t="s">
        <v>123</v>
      </c>
      <c r="F27" s="196" t="s">
        <v>198</v>
      </c>
      <c r="G27" s="196" t="s">
        <v>179</v>
      </c>
      <c r="H27" s="197">
        <v>3</v>
      </c>
      <c r="I27" s="197">
        <v>4</v>
      </c>
      <c r="J27" s="197">
        <v>0</v>
      </c>
      <c r="K27" s="197">
        <v>3</v>
      </c>
      <c r="L27" s="197">
        <v>91.3</v>
      </c>
      <c r="M27" s="197">
        <v>75</v>
      </c>
      <c r="N27" s="197">
        <v>2</v>
      </c>
      <c r="O27" s="197">
        <v>50</v>
      </c>
      <c r="P27" s="197">
        <v>2</v>
      </c>
      <c r="Q27" s="197">
        <v>2</v>
      </c>
      <c r="R27" s="197">
        <v>0</v>
      </c>
      <c r="S27" s="197">
        <v>4</v>
      </c>
      <c r="T27" s="197">
        <v>243.48</v>
      </c>
      <c r="U27" s="197">
        <v>200</v>
      </c>
      <c r="V27" s="197">
        <v>0</v>
      </c>
      <c r="W27" s="197">
        <v>100</v>
      </c>
      <c r="X27" s="197">
        <v>1</v>
      </c>
      <c r="Y27" s="197">
        <v>1</v>
      </c>
      <c r="Z27" s="197">
        <v>0</v>
      </c>
      <c r="AA27" s="197">
        <v>0</v>
      </c>
      <c r="AB27" s="197">
        <v>0</v>
      </c>
      <c r="AC27" s="197">
        <v>0</v>
      </c>
      <c r="AD27" s="197">
        <v>0</v>
      </c>
      <c r="AE27" s="197">
        <v>100</v>
      </c>
      <c r="AF27" s="197">
        <v>2</v>
      </c>
      <c r="AG27" s="197">
        <v>2</v>
      </c>
      <c r="AH27" s="197">
        <v>0</v>
      </c>
      <c r="AI27" s="197">
        <v>1</v>
      </c>
      <c r="AJ27" s="197">
        <v>139.13</v>
      </c>
      <c r="AK27" s="197">
        <v>150</v>
      </c>
      <c r="AL27" s="197">
        <v>0</v>
      </c>
      <c r="AM27" s="197">
        <v>100</v>
      </c>
      <c r="AN27" s="197">
        <v>2</v>
      </c>
      <c r="AO27" s="197">
        <v>3</v>
      </c>
      <c r="AP27" s="197">
        <v>0</v>
      </c>
      <c r="AQ27" s="197">
        <v>0</v>
      </c>
      <c r="AR27" s="197">
        <v>0</v>
      </c>
      <c r="AS27" s="197">
        <v>0</v>
      </c>
      <c r="AT27" s="197">
        <v>0</v>
      </c>
      <c r="AU27" s="197">
        <v>100</v>
      </c>
      <c r="AV27" s="197">
        <v>17</v>
      </c>
      <c r="AW27" s="197">
        <v>21</v>
      </c>
      <c r="AX27" s="197">
        <v>0</v>
      </c>
      <c r="AY27" s="197">
        <v>30</v>
      </c>
      <c r="AZ27" s="197">
        <v>173.91</v>
      </c>
      <c r="BA27" s="197">
        <v>142.86000000000001</v>
      </c>
      <c r="BB27" s="197">
        <v>0</v>
      </c>
      <c r="BC27" s="197">
        <v>100</v>
      </c>
      <c r="BD27" s="197">
        <v>2</v>
      </c>
      <c r="BE27" s="197">
        <v>3</v>
      </c>
      <c r="BF27" s="197">
        <v>1</v>
      </c>
      <c r="BG27" s="197">
        <v>1</v>
      </c>
      <c r="BH27" s="197">
        <v>40.58</v>
      </c>
      <c r="BI27" s="197">
        <v>33.33</v>
      </c>
      <c r="BJ27" s="197">
        <v>1</v>
      </c>
      <c r="BK27" s="197">
        <v>0</v>
      </c>
      <c r="BL27" s="197">
        <v>0</v>
      </c>
      <c r="BM27" s="197">
        <v>0</v>
      </c>
      <c r="BN27" s="197">
        <v>0</v>
      </c>
      <c r="BO27" s="197">
        <v>2</v>
      </c>
      <c r="BP27" s="197">
        <v>100</v>
      </c>
      <c r="BQ27" s="197">
        <v>100</v>
      </c>
      <c r="BR27" s="197">
        <v>0</v>
      </c>
      <c r="BS27" s="197">
        <v>100</v>
      </c>
      <c r="BT27" s="197">
        <v>1</v>
      </c>
      <c r="BU27" s="197">
        <v>1</v>
      </c>
      <c r="BV27" s="197">
        <v>0</v>
      </c>
      <c r="BW27" s="197">
        <v>1</v>
      </c>
      <c r="BX27" s="197">
        <v>121.74</v>
      </c>
      <c r="BY27" s="197">
        <v>100</v>
      </c>
      <c r="BZ27" s="197">
        <v>0</v>
      </c>
      <c r="CA27" s="197">
        <v>100</v>
      </c>
      <c r="CB27" s="197">
        <v>5</v>
      </c>
      <c r="CC27" s="197">
        <v>6</v>
      </c>
      <c r="CD27" s="197">
        <v>0</v>
      </c>
      <c r="CE27" s="197">
        <v>6</v>
      </c>
      <c r="CF27" s="197">
        <v>121.74</v>
      </c>
      <c r="CG27" s="197">
        <v>100</v>
      </c>
      <c r="CH27" s="197">
        <v>0</v>
      </c>
      <c r="CI27" s="197">
        <v>100</v>
      </c>
      <c r="CJ27" s="197">
        <v>2</v>
      </c>
      <c r="CK27" s="197">
        <v>3</v>
      </c>
      <c r="CL27" s="197">
        <v>0</v>
      </c>
      <c r="CM27" s="197">
        <v>2</v>
      </c>
      <c r="CN27" s="197">
        <v>81.16</v>
      </c>
      <c r="CO27" s="197">
        <v>66.67</v>
      </c>
      <c r="CP27" s="197">
        <v>0</v>
      </c>
      <c r="CQ27" s="197">
        <v>100</v>
      </c>
      <c r="CR27" s="197">
        <v>2</v>
      </c>
      <c r="CS27" s="197">
        <v>3</v>
      </c>
      <c r="CT27" s="197">
        <v>0</v>
      </c>
      <c r="CU27" s="197">
        <v>1</v>
      </c>
      <c r="CV27" s="197">
        <v>40.58</v>
      </c>
      <c r="CW27" s="197">
        <v>33.33</v>
      </c>
      <c r="CX27" s="197">
        <v>0</v>
      </c>
      <c r="CY27" s="197">
        <v>100</v>
      </c>
      <c r="CZ27" s="197">
        <v>1</v>
      </c>
      <c r="DA27" s="197">
        <v>1</v>
      </c>
      <c r="DB27" s="197">
        <v>0</v>
      </c>
      <c r="DC27" s="197">
        <v>3</v>
      </c>
      <c r="DD27" s="197">
        <v>365.22</v>
      </c>
      <c r="DE27" s="197">
        <v>300</v>
      </c>
      <c r="DF27" s="197">
        <v>0</v>
      </c>
      <c r="DG27" s="197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96" t="s">
        <v>67</v>
      </c>
      <c r="F28" s="196" t="s">
        <v>199</v>
      </c>
      <c r="G28" s="196" t="s">
        <v>128</v>
      </c>
      <c r="H28" s="197">
        <v>7</v>
      </c>
      <c r="I28" s="197">
        <v>8</v>
      </c>
      <c r="J28" s="197">
        <v>0</v>
      </c>
      <c r="K28" s="197">
        <v>7</v>
      </c>
      <c r="L28" s="197">
        <v>106.52</v>
      </c>
      <c r="M28" s="197">
        <v>87.5</v>
      </c>
      <c r="N28" s="197">
        <v>0</v>
      </c>
      <c r="O28" s="197">
        <v>100</v>
      </c>
      <c r="P28" s="197">
        <v>3</v>
      </c>
      <c r="Q28" s="197">
        <v>4</v>
      </c>
      <c r="R28" s="197">
        <v>0</v>
      </c>
      <c r="S28" s="197">
        <v>6</v>
      </c>
      <c r="T28" s="197">
        <v>182.61</v>
      </c>
      <c r="U28" s="197">
        <v>150</v>
      </c>
      <c r="V28" s="197">
        <v>0</v>
      </c>
      <c r="W28" s="197">
        <v>100</v>
      </c>
      <c r="X28" s="197">
        <v>2</v>
      </c>
      <c r="Y28" s="197">
        <v>2</v>
      </c>
      <c r="Z28" s="197">
        <v>0</v>
      </c>
      <c r="AA28" s="197">
        <v>0</v>
      </c>
      <c r="AB28" s="197">
        <v>0</v>
      </c>
      <c r="AC28" s="197">
        <v>0</v>
      </c>
      <c r="AD28" s="197">
        <v>1</v>
      </c>
      <c r="AE28" s="197">
        <v>-100</v>
      </c>
      <c r="AF28" s="197">
        <v>4</v>
      </c>
      <c r="AG28" s="197">
        <v>5</v>
      </c>
      <c r="AH28" s="197">
        <v>0</v>
      </c>
      <c r="AI28" s="197">
        <v>3</v>
      </c>
      <c r="AJ28" s="197">
        <v>126.96</v>
      </c>
      <c r="AK28" s="197">
        <v>140</v>
      </c>
      <c r="AL28" s="197">
        <v>0</v>
      </c>
      <c r="AM28" s="197">
        <v>100</v>
      </c>
      <c r="AN28" s="197">
        <v>3</v>
      </c>
      <c r="AO28" s="197">
        <v>4</v>
      </c>
      <c r="AP28" s="197">
        <v>0</v>
      </c>
      <c r="AQ28" s="197">
        <v>1</v>
      </c>
      <c r="AR28" s="197">
        <v>30.43</v>
      </c>
      <c r="AS28" s="197">
        <v>25</v>
      </c>
      <c r="AT28" s="197">
        <v>0</v>
      </c>
      <c r="AU28" s="197">
        <v>100</v>
      </c>
      <c r="AV28" s="197">
        <v>25</v>
      </c>
      <c r="AW28" s="197">
        <v>30</v>
      </c>
      <c r="AX28" s="197">
        <v>0</v>
      </c>
      <c r="AY28" s="197">
        <v>33</v>
      </c>
      <c r="AZ28" s="197">
        <v>133.91</v>
      </c>
      <c r="BA28" s="197">
        <v>110</v>
      </c>
      <c r="BB28" s="197">
        <v>0</v>
      </c>
      <c r="BC28" s="197">
        <v>100</v>
      </c>
      <c r="BD28" s="197">
        <v>4</v>
      </c>
      <c r="BE28" s="197">
        <v>5</v>
      </c>
      <c r="BF28" s="197">
        <v>1</v>
      </c>
      <c r="BG28" s="197">
        <v>5</v>
      </c>
      <c r="BH28" s="197">
        <v>121.74</v>
      </c>
      <c r="BI28" s="197">
        <v>100</v>
      </c>
      <c r="BJ28" s="197">
        <v>0</v>
      </c>
      <c r="BK28" s="197">
        <v>100</v>
      </c>
      <c r="BL28" s="197">
        <v>0</v>
      </c>
      <c r="BM28" s="197">
        <v>0</v>
      </c>
      <c r="BN28" s="197">
        <v>0</v>
      </c>
      <c r="BO28" s="197">
        <v>0</v>
      </c>
      <c r="BP28" s="197">
        <v>100</v>
      </c>
      <c r="BQ28" s="197">
        <v>100</v>
      </c>
      <c r="BR28" s="197">
        <v>0</v>
      </c>
      <c r="BS28" s="197">
        <v>100</v>
      </c>
      <c r="BT28" s="197">
        <v>1</v>
      </c>
      <c r="BU28" s="197">
        <v>1</v>
      </c>
      <c r="BV28" s="197">
        <v>0</v>
      </c>
      <c r="BW28" s="197">
        <v>1</v>
      </c>
      <c r="BX28" s="197">
        <v>121.74</v>
      </c>
      <c r="BY28" s="197">
        <v>100</v>
      </c>
      <c r="BZ28" s="197">
        <v>0</v>
      </c>
      <c r="CA28" s="197">
        <v>100</v>
      </c>
      <c r="CB28" s="197">
        <v>7</v>
      </c>
      <c r="CC28" s="197">
        <v>9</v>
      </c>
      <c r="CD28" s="197">
        <v>0</v>
      </c>
      <c r="CE28" s="197">
        <v>12</v>
      </c>
      <c r="CF28" s="197">
        <v>162.32</v>
      </c>
      <c r="CG28" s="197">
        <v>133.33000000000001</v>
      </c>
      <c r="CH28" s="197">
        <v>0</v>
      </c>
      <c r="CI28" s="197">
        <v>100</v>
      </c>
      <c r="CJ28" s="197">
        <v>4</v>
      </c>
      <c r="CK28" s="197">
        <v>5</v>
      </c>
      <c r="CL28" s="197">
        <v>0</v>
      </c>
      <c r="CM28" s="197">
        <v>6</v>
      </c>
      <c r="CN28" s="197">
        <v>146.09</v>
      </c>
      <c r="CO28" s="197">
        <v>120</v>
      </c>
      <c r="CP28" s="197">
        <v>0</v>
      </c>
      <c r="CQ28" s="197">
        <v>100</v>
      </c>
      <c r="CR28" s="197">
        <v>3</v>
      </c>
      <c r="CS28" s="197">
        <v>4</v>
      </c>
      <c r="CT28" s="197">
        <v>0</v>
      </c>
      <c r="CU28" s="197">
        <v>4</v>
      </c>
      <c r="CV28" s="197">
        <v>121.74</v>
      </c>
      <c r="CW28" s="197">
        <v>100</v>
      </c>
      <c r="CX28" s="197">
        <v>0</v>
      </c>
      <c r="CY28" s="197">
        <v>100</v>
      </c>
      <c r="CZ28" s="197">
        <v>1</v>
      </c>
      <c r="DA28" s="197">
        <v>1</v>
      </c>
      <c r="DB28" s="197">
        <v>0</v>
      </c>
      <c r="DC28" s="197">
        <v>1</v>
      </c>
      <c r="DD28" s="197">
        <v>121.74</v>
      </c>
      <c r="DE28" s="197">
        <v>100</v>
      </c>
      <c r="DF28" s="197">
        <v>0</v>
      </c>
      <c r="DG28" s="197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199" t="s">
        <v>284</v>
      </c>
      <c r="F29" s="199" t="s">
        <v>285</v>
      </c>
      <c r="G29" s="199" t="s">
        <v>179</v>
      </c>
      <c r="H29" s="197">
        <v>2</v>
      </c>
      <c r="I29" s="197">
        <v>3</v>
      </c>
      <c r="J29" s="197">
        <v>0</v>
      </c>
      <c r="K29" s="197">
        <v>2</v>
      </c>
      <c r="L29" s="197">
        <v>81.16</v>
      </c>
      <c r="M29" s="197">
        <v>66.67</v>
      </c>
      <c r="N29" s="197">
        <v>0</v>
      </c>
      <c r="O29" s="197">
        <v>100</v>
      </c>
      <c r="P29" s="197">
        <v>2</v>
      </c>
      <c r="Q29" s="197">
        <v>2</v>
      </c>
      <c r="R29" s="197">
        <v>0</v>
      </c>
      <c r="S29" s="197">
        <v>2</v>
      </c>
      <c r="T29" s="197">
        <v>121.74</v>
      </c>
      <c r="U29" s="197">
        <v>100</v>
      </c>
      <c r="V29" s="197">
        <v>0</v>
      </c>
      <c r="W29" s="197">
        <v>100</v>
      </c>
      <c r="X29" s="197">
        <v>1</v>
      </c>
      <c r="Y29" s="197">
        <v>1</v>
      </c>
      <c r="Z29" s="197">
        <v>0</v>
      </c>
      <c r="AA29" s="197">
        <v>0</v>
      </c>
      <c r="AB29" s="197">
        <v>0</v>
      </c>
      <c r="AC29" s="197">
        <v>0</v>
      </c>
      <c r="AD29" s="197">
        <v>0</v>
      </c>
      <c r="AE29" s="197">
        <v>100</v>
      </c>
      <c r="AF29" s="197">
        <v>2</v>
      </c>
      <c r="AG29" s="197">
        <v>2</v>
      </c>
      <c r="AH29" s="197">
        <v>0</v>
      </c>
      <c r="AI29" s="197">
        <v>0</v>
      </c>
      <c r="AJ29" s="197">
        <v>200</v>
      </c>
      <c r="AK29" s="197">
        <v>200</v>
      </c>
      <c r="AL29" s="197">
        <v>0</v>
      </c>
      <c r="AM29" s="197">
        <v>100</v>
      </c>
      <c r="AN29" s="197">
        <v>2</v>
      </c>
      <c r="AO29" s="197">
        <v>3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100</v>
      </c>
      <c r="AV29" s="197">
        <v>12</v>
      </c>
      <c r="AW29" s="197">
        <v>14</v>
      </c>
      <c r="AX29" s="197">
        <v>0</v>
      </c>
      <c r="AY29" s="197">
        <v>13</v>
      </c>
      <c r="AZ29" s="197">
        <v>113.04</v>
      </c>
      <c r="BA29" s="197">
        <v>92.86</v>
      </c>
      <c r="BB29" s="197">
        <v>0</v>
      </c>
      <c r="BC29" s="197">
        <v>100</v>
      </c>
      <c r="BD29" s="197">
        <v>2</v>
      </c>
      <c r="BE29" s="197">
        <v>2</v>
      </c>
      <c r="BF29" s="197">
        <v>0</v>
      </c>
      <c r="BG29" s="197">
        <v>0</v>
      </c>
      <c r="BH29" s="197">
        <v>0</v>
      </c>
      <c r="BI29" s="197">
        <v>0</v>
      </c>
      <c r="BJ29" s="197">
        <v>0</v>
      </c>
      <c r="BK29" s="197">
        <v>100</v>
      </c>
      <c r="BL29" s="197">
        <v>0</v>
      </c>
      <c r="BM29" s="197">
        <v>0</v>
      </c>
      <c r="BN29" s="197">
        <v>0</v>
      </c>
      <c r="BO29" s="197">
        <v>0</v>
      </c>
      <c r="BP29" s="197">
        <v>100</v>
      </c>
      <c r="BQ29" s="197">
        <v>100</v>
      </c>
      <c r="BR29" s="197">
        <v>0</v>
      </c>
      <c r="BS29" s="197">
        <v>100</v>
      </c>
      <c r="BT29" s="197">
        <v>1</v>
      </c>
      <c r="BU29" s="197">
        <v>1</v>
      </c>
      <c r="BV29" s="197">
        <v>0</v>
      </c>
      <c r="BW29" s="197">
        <v>0</v>
      </c>
      <c r="BX29" s="197">
        <v>0</v>
      </c>
      <c r="BY29" s="197">
        <v>0</v>
      </c>
      <c r="BZ29" s="197">
        <v>1</v>
      </c>
      <c r="CA29" s="197">
        <v>-100</v>
      </c>
      <c r="CB29" s="197">
        <v>4</v>
      </c>
      <c r="CC29" s="197">
        <v>5</v>
      </c>
      <c r="CD29" s="197">
        <v>0</v>
      </c>
      <c r="CE29" s="197">
        <v>3</v>
      </c>
      <c r="CF29" s="197">
        <v>73.040000000000006</v>
      </c>
      <c r="CG29" s="197">
        <v>60</v>
      </c>
      <c r="CH29" s="197">
        <v>0</v>
      </c>
      <c r="CI29" s="197">
        <v>100</v>
      </c>
      <c r="CJ29" s="197">
        <v>2</v>
      </c>
      <c r="CK29" s="197">
        <v>3</v>
      </c>
      <c r="CL29" s="197">
        <v>0</v>
      </c>
      <c r="CM29" s="197">
        <v>1</v>
      </c>
      <c r="CN29" s="197">
        <v>40.58</v>
      </c>
      <c r="CO29" s="197">
        <v>33.33</v>
      </c>
      <c r="CP29" s="197">
        <v>0</v>
      </c>
      <c r="CQ29" s="197">
        <v>100</v>
      </c>
      <c r="CR29" s="197">
        <v>2</v>
      </c>
      <c r="CS29" s="197">
        <v>3</v>
      </c>
      <c r="CT29" s="197">
        <v>0</v>
      </c>
      <c r="CU29" s="197">
        <v>4</v>
      </c>
      <c r="CV29" s="197">
        <v>162.32</v>
      </c>
      <c r="CW29" s="197">
        <v>133.33000000000001</v>
      </c>
      <c r="CX29" s="197">
        <v>0</v>
      </c>
      <c r="CY29" s="197">
        <v>100</v>
      </c>
      <c r="CZ29" s="197">
        <v>1</v>
      </c>
      <c r="DA29" s="197">
        <v>1</v>
      </c>
      <c r="DB29" s="197">
        <v>0</v>
      </c>
      <c r="DC29" s="197">
        <v>1</v>
      </c>
      <c r="DD29" s="197">
        <v>121.74</v>
      </c>
      <c r="DE29" s="197">
        <v>100</v>
      </c>
      <c r="DF29" s="197">
        <v>0</v>
      </c>
      <c r="DG29" s="197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3" t="s">
        <v>5</v>
      </c>
      <c r="C3" s="101" t="s">
        <v>200</v>
      </c>
      <c r="D3" s="101" t="s">
        <v>201</v>
      </c>
      <c r="E3" s="247" t="s">
        <v>202</v>
      </c>
      <c r="F3" s="245" t="s">
        <v>6</v>
      </c>
      <c r="G3" s="245" t="s">
        <v>7</v>
      </c>
      <c r="H3" s="245" t="s">
        <v>8</v>
      </c>
      <c r="I3" s="245" t="s">
        <v>9</v>
      </c>
      <c r="J3" s="245" t="s">
        <v>10</v>
      </c>
      <c r="K3" s="245" t="s">
        <v>11</v>
      </c>
      <c r="L3" s="245" t="s">
        <v>12</v>
      </c>
      <c r="M3" s="245" t="s">
        <v>203</v>
      </c>
      <c r="N3" s="245" t="s">
        <v>286</v>
      </c>
      <c r="O3" s="245" t="s">
        <v>14</v>
      </c>
      <c r="P3" s="245" t="s">
        <v>15</v>
      </c>
      <c r="Q3" s="245" t="s">
        <v>16</v>
      </c>
      <c r="R3" s="245" t="s">
        <v>17</v>
      </c>
      <c r="S3" s="245" t="s">
        <v>18</v>
      </c>
      <c r="T3" s="99"/>
    </row>
    <row r="4" spans="1:20" ht="21" customHeight="1" x14ac:dyDescent="0.45">
      <c r="A4" s="100"/>
      <c r="B4" s="244"/>
      <c r="C4" s="101"/>
      <c r="D4" s="101"/>
      <c r="E4" s="248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9" t="s">
        <v>204</v>
      </c>
      <c r="B1" s="249" t="s">
        <v>168</v>
      </c>
      <c r="C1" s="249" t="s">
        <v>169</v>
      </c>
      <c r="D1" s="251" t="s">
        <v>1</v>
      </c>
      <c r="E1" s="251" t="s">
        <v>205</v>
      </c>
      <c r="F1" s="251" t="s">
        <v>206</v>
      </c>
    </row>
    <row r="2" spans="1:6" x14ac:dyDescent="0.45">
      <c r="A2" s="250"/>
      <c r="B2" s="250"/>
      <c r="C2" s="250"/>
      <c r="D2" s="252"/>
      <c r="E2" s="252"/>
      <c r="F2" s="252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8" t="s">
        <v>240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M1" s="261" t="s">
        <v>241</v>
      </c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</row>
    <row r="2" spans="1:48" ht="24.5" customHeight="1" x14ac:dyDescent="0.45">
      <c r="A2" s="259"/>
      <c r="B2" s="259"/>
      <c r="C2" s="259"/>
      <c r="D2" s="259"/>
      <c r="E2" s="259"/>
      <c r="F2" s="259"/>
      <c r="G2" s="259"/>
      <c r="H2" s="259"/>
      <c r="I2" s="259"/>
      <c r="J2" s="259"/>
      <c r="K2" s="259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2"/>
      <c r="X2" s="262"/>
      <c r="Y2" s="262"/>
      <c r="Z2" s="262"/>
    </row>
    <row r="3" spans="1:48" ht="26.25" customHeight="1" x14ac:dyDescent="0.45">
      <c r="A3" s="255" t="s">
        <v>0</v>
      </c>
      <c r="B3" s="256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60" t="s">
        <v>34</v>
      </c>
      <c r="N3" s="202" t="s">
        <v>250</v>
      </c>
      <c r="O3" s="203"/>
      <c r="P3" s="203"/>
      <c r="Q3" s="203"/>
      <c r="R3" s="253" t="s">
        <v>251</v>
      </c>
      <c r="S3" s="202" t="s">
        <v>252</v>
      </c>
      <c r="T3" s="203"/>
      <c r="U3" s="203"/>
      <c r="V3" s="203"/>
      <c r="W3" s="253" t="s">
        <v>251</v>
      </c>
      <c r="X3" s="215" t="s">
        <v>41</v>
      </c>
      <c r="Y3" s="216"/>
      <c r="Z3" s="216"/>
      <c r="AA3" s="253" t="s">
        <v>251</v>
      </c>
      <c r="AB3" s="71"/>
      <c r="AC3" s="202" t="s">
        <v>42</v>
      </c>
      <c r="AD3" s="203"/>
      <c r="AE3" s="203"/>
      <c r="AF3" s="203"/>
      <c r="AG3" s="202" t="s">
        <v>43</v>
      </c>
      <c r="AH3" s="203"/>
      <c r="AI3" s="203"/>
      <c r="AJ3" s="203"/>
      <c r="AK3" s="202" t="s">
        <v>44</v>
      </c>
      <c r="AL3" s="203"/>
      <c r="AM3" s="203"/>
      <c r="AN3" s="203"/>
      <c r="AO3" s="202" t="s">
        <v>46</v>
      </c>
      <c r="AP3" s="203"/>
      <c r="AQ3" s="203"/>
      <c r="AR3" s="203"/>
      <c r="AS3" s="202" t="s">
        <v>47</v>
      </c>
      <c r="AT3" s="203"/>
      <c r="AU3" s="203"/>
      <c r="AV3" s="203"/>
    </row>
    <row r="4" spans="1:48" ht="22.25" customHeight="1" x14ac:dyDescent="0.45">
      <c r="A4" s="255"/>
      <c r="B4" s="257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60"/>
      <c r="N4" s="8" t="s">
        <v>2</v>
      </c>
      <c r="O4" s="9" t="s">
        <v>58</v>
      </c>
      <c r="P4" s="9" t="s">
        <v>4</v>
      </c>
      <c r="Q4" s="51" t="s">
        <v>59</v>
      </c>
      <c r="R4" s="254"/>
      <c r="S4" s="8" t="s">
        <v>2</v>
      </c>
      <c r="T4" s="9" t="s">
        <v>58</v>
      </c>
      <c r="U4" s="31" t="s">
        <v>4</v>
      </c>
      <c r="V4" s="51" t="s">
        <v>59</v>
      </c>
      <c r="W4" s="254"/>
      <c r="X4" s="8" t="s">
        <v>2</v>
      </c>
      <c r="Y4" s="9" t="s">
        <v>58</v>
      </c>
      <c r="Z4" s="9" t="s">
        <v>4</v>
      </c>
      <c r="AA4" s="254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R25" sqref="R25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5"/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5"/>
      <c r="P1" s="265"/>
    </row>
    <row r="2" spans="1:23" hidden="1" x14ac:dyDescent="0.45">
      <c r="A2" s="266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</row>
    <row r="3" spans="1:23" hidden="1" x14ac:dyDescent="0.45">
      <c r="A3" s="267"/>
      <c r="B3" s="267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9" t="s">
        <v>255</v>
      </c>
      <c r="B4" s="269" t="s">
        <v>39</v>
      </c>
      <c r="C4" s="141"/>
      <c r="D4" s="141"/>
      <c r="E4" s="141"/>
      <c r="F4" s="141"/>
      <c r="G4" s="141"/>
      <c r="H4" s="268"/>
      <c r="I4" s="268"/>
      <c r="J4" s="268"/>
      <c r="K4" s="268"/>
      <c r="L4" s="268"/>
      <c r="M4" s="268"/>
      <c r="N4" s="268"/>
      <c r="O4" s="268"/>
      <c r="P4" s="268"/>
    </row>
    <row r="5" spans="1:23" x14ac:dyDescent="0.45">
      <c r="A5" s="272"/>
      <c r="B5" s="272"/>
      <c r="C5" s="269" t="s">
        <v>256</v>
      </c>
      <c r="D5" s="269" t="s">
        <v>257</v>
      </c>
      <c r="E5" s="270"/>
      <c r="F5" s="269" t="s">
        <v>258</v>
      </c>
      <c r="G5" s="270"/>
      <c r="H5" s="269" t="s">
        <v>259</v>
      </c>
      <c r="I5" s="270"/>
      <c r="J5" s="269" t="s">
        <v>260</v>
      </c>
      <c r="K5" s="270"/>
      <c r="L5" s="273" t="s">
        <v>261</v>
      </c>
      <c r="M5" s="270"/>
      <c r="N5" s="268" t="s">
        <v>262</v>
      </c>
      <c r="O5" s="274"/>
      <c r="P5" s="269" t="s">
        <v>266</v>
      </c>
      <c r="R5" s="263" t="s">
        <v>34</v>
      </c>
      <c r="S5" s="263" t="s">
        <v>289</v>
      </c>
      <c r="T5" s="263" t="s">
        <v>290</v>
      </c>
      <c r="U5" s="263" t="s">
        <v>292</v>
      </c>
      <c r="V5" s="264" t="s">
        <v>291</v>
      </c>
      <c r="W5" s="172"/>
    </row>
    <row r="6" spans="1:23" x14ac:dyDescent="0.45">
      <c r="A6" s="271"/>
      <c r="B6" s="271"/>
      <c r="C6" s="272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71"/>
      <c r="R6" s="263"/>
      <c r="S6" s="263"/>
      <c r="T6" s="263"/>
      <c r="U6" s="263"/>
      <c r="V6" s="263"/>
      <c r="W6" s="172"/>
    </row>
    <row r="7" spans="1:23" x14ac:dyDescent="0.45">
      <c r="A7" s="190" t="s">
        <v>179</v>
      </c>
      <c r="B7" s="190" t="s">
        <v>288</v>
      </c>
      <c r="C7" s="190" t="s">
        <v>284</v>
      </c>
      <c r="D7" s="191">
        <v>318</v>
      </c>
      <c r="E7" s="191">
        <v>50351985</v>
      </c>
      <c r="F7" s="191">
        <v>0</v>
      </c>
      <c r="G7" s="191">
        <v>0</v>
      </c>
      <c r="H7" s="191">
        <v>318</v>
      </c>
      <c r="I7" s="191">
        <v>50351985</v>
      </c>
      <c r="J7" s="191">
        <v>2</v>
      </c>
      <c r="K7" s="191">
        <v>205000</v>
      </c>
      <c r="L7" s="191">
        <v>272</v>
      </c>
      <c r="M7" s="191">
        <v>44738967</v>
      </c>
      <c r="N7" s="192">
        <v>85.53</v>
      </c>
      <c r="O7" s="192">
        <v>88.85</v>
      </c>
      <c r="P7" s="135">
        <f>I7*0.97-M7</f>
        <v>4102458.4499999955</v>
      </c>
      <c r="R7" s="173" t="s">
        <v>117</v>
      </c>
      <c r="S7" s="176">
        <f>VLOOKUP(R7,$C$7:$P$27,7,0)</f>
        <v>101866340</v>
      </c>
      <c r="T7" s="175">
        <v>23239489.799999997</v>
      </c>
      <c r="U7" s="189">
        <f>VLOOKUP(R7,$C$7:$P$27,14,0)</f>
        <v>16052355.799999997</v>
      </c>
      <c r="V7" s="175">
        <f>VLOOKUP(R7,$C$7:$P$27,14,0)-T7</f>
        <v>-7187134</v>
      </c>
    </row>
    <row r="8" spans="1:23" x14ac:dyDescent="0.45">
      <c r="A8" s="193" t="s">
        <v>179</v>
      </c>
      <c r="B8" s="193" t="s">
        <v>101</v>
      </c>
      <c r="C8" s="193" t="s">
        <v>102</v>
      </c>
      <c r="D8" s="194">
        <v>454</v>
      </c>
      <c r="E8" s="194">
        <v>70243418</v>
      </c>
      <c r="F8" s="194">
        <v>0</v>
      </c>
      <c r="G8" s="194">
        <v>0</v>
      </c>
      <c r="H8" s="194">
        <v>454</v>
      </c>
      <c r="I8" s="194">
        <v>70243418</v>
      </c>
      <c r="J8" s="194">
        <v>0</v>
      </c>
      <c r="K8" s="194">
        <v>0</v>
      </c>
      <c r="L8" s="194">
        <v>405</v>
      </c>
      <c r="M8" s="194">
        <v>62386506</v>
      </c>
      <c r="N8" s="195">
        <v>89.21</v>
      </c>
      <c r="O8" s="195">
        <v>88.81</v>
      </c>
      <c r="P8" s="135">
        <f t="shared" ref="P8:P27" si="0">I8*0.97-M8</f>
        <v>5749609.4599999934</v>
      </c>
      <c r="R8" s="173" t="s">
        <v>67</v>
      </c>
      <c r="S8" s="176">
        <f t="shared" ref="S8:S17" si="1">VLOOKUP(R8,$C$7:$P$27,7,0)</f>
        <v>145101823</v>
      </c>
      <c r="T8" s="175">
        <v>24558081.310000002</v>
      </c>
      <c r="U8" s="189">
        <f t="shared" ref="U8:U17" si="2">VLOOKUP(R8,$C$7:$P$27,14,0)</f>
        <v>17997728.310000002</v>
      </c>
      <c r="V8" s="175">
        <f t="shared" ref="V8:V17" si="3">VLOOKUP(R8,$C$7:$P$27,14,0)-T8</f>
        <v>-6560353</v>
      </c>
    </row>
    <row r="9" spans="1:23" x14ac:dyDescent="0.45">
      <c r="A9" s="190" t="s">
        <v>179</v>
      </c>
      <c r="B9" s="190" t="s">
        <v>68</v>
      </c>
      <c r="C9" s="190" t="s">
        <v>69</v>
      </c>
      <c r="D9" s="191">
        <v>434</v>
      </c>
      <c r="E9" s="191">
        <v>72573808</v>
      </c>
      <c r="F9" s="191">
        <v>0</v>
      </c>
      <c r="G9" s="191">
        <v>0</v>
      </c>
      <c r="H9" s="191">
        <v>434</v>
      </c>
      <c r="I9" s="191">
        <v>72573808</v>
      </c>
      <c r="J9" s="191">
        <v>0</v>
      </c>
      <c r="K9" s="191">
        <v>0</v>
      </c>
      <c r="L9" s="191">
        <v>389</v>
      </c>
      <c r="M9" s="191">
        <v>63048138</v>
      </c>
      <c r="N9" s="192">
        <v>89.63</v>
      </c>
      <c r="O9" s="192">
        <v>86.87</v>
      </c>
      <c r="P9" s="135">
        <f t="shared" si="0"/>
        <v>7348455.7600000054</v>
      </c>
      <c r="R9" s="174" t="s">
        <v>87</v>
      </c>
      <c r="S9" s="176">
        <f t="shared" si="1"/>
        <v>141474291</v>
      </c>
      <c r="T9" s="175">
        <v>35959578.270000011</v>
      </c>
      <c r="U9" s="189">
        <f t="shared" si="2"/>
        <v>26717600.270000011</v>
      </c>
      <c r="V9" s="175">
        <f t="shared" si="3"/>
        <v>-9241978</v>
      </c>
    </row>
    <row r="10" spans="1:23" x14ac:dyDescent="0.45">
      <c r="A10" s="193" t="s">
        <v>179</v>
      </c>
      <c r="B10" s="193" t="s">
        <v>104</v>
      </c>
      <c r="C10" s="193" t="s">
        <v>105</v>
      </c>
      <c r="D10" s="194">
        <v>716</v>
      </c>
      <c r="E10" s="194">
        <v>116427734</v>
      </c>
      <c r="F10" s="194">
        <v>0</v>
      </c>
      <c r="G10" s="194">
        <v>0</v>
      </c>
      <c r="H10" s="194">
        <v>716</v>
      </c>
      <c r="I10" s="194">
        <v>116427734</v>
      </c>
      <c r="J10" s="194">
        <v>1</v>
      </c>
      <c r="K10" s="194">
        <v>140000</v>
      </c>
      <c r="L10" s="194">
        <v>591</v>
      </c>
      <c r="M10" s="194">
        <v>98695646</v>
      </c>
      <c r="N10" s="195">
        <v>82.54</v>
      </c>
      <c r="O10" s="195">
        <v>84.77</v>
      </c>
      <c r="P10" s="135">
        <f t="shared" si="0"/>
        <v>14239255.980000004</v>
      </c>
      <c r="R10" s="174" t="s">
        <v>110</v>
      </c>
      <c r="S10" s="176">
        <f t="shared" si="1"/>
        <v>149379338</v>
      </c>
      <c r="T10" s="175">
        <v>46186242.859999985</v>
      </c>
      <c r="U10" s="189">
        <f t="shared" si="2"/>
        <v>41487548.859999985</v>
      </c>
      <c r="V10" s="175">
        <f t="shared" si="3"/>
        <v>-4698694</v>
      </c>
    </row>
    <row r="11" spans="1:23" x14ac:dyDescent="0.45">
      <c r="A11" s="190" t="s">
        <v>128</v>
      </c>
      <c r="B11" s="190" t="s">
        <v>66</v>
      </c>
      <c r="C11" s="190" t="s">
        <v>67</v>
      </c>
      <c r="D11" s="191">
        <v>876</v>
      </c>
      <c r="E11" s="191">
        <v>145101823</v>
      </c>
      <c r="F11" s="191">
        <v>0</v>
      </c>
      <c r="G11" s="191">
        <v>0</v>
      </c>
      <c r="H11" s="191">
        <v>876</v>
      </c>
      <c r="I11" s="191">
        <v>145101823</v>
      </c>
      <c r="J11" s="191">
        <v>1</v>
      </c>
      <c r="K11" s="191">
        <v>334500</v>
      </c>
      <c r="L11" s="191">
        <v>729</v>
      </c>
      <c r="M11" s="191">
        <v>122751040</v>
      </c>
      <c r="N11" s="192">
        <v>83.22</v>
      </c>
      <c r="O11" s="192">
        <v>84.6</v>
      </c>
      <c r="P11" s="135">
        <f t="shared" si="0"/>
        <v>17997728.310000002</v>
      </c>
      <c r="R11" s="173" t="s">
        <v>99</v>
      </c>
      <c r="S11" s="176">
        <f t="shared" si="1"/>
        <v>105953075</v>
      </c>
      <c r="T11" s="175">
        <v>29500740.75</v>
      </c>
      <c r="U11" s="189">
        <f t="shared" si="2"/>
        <v>18693450.75</v>
      </c>
      <c r="V11" s="175">
        <f t="shared" si="3"/>
        <v>-10807290</v>
      </c>
    </row>
    <row r="12" spans="1:23" x14ac:dyDescent="0.45">
      <c r="A12" s="193" t="s">
        <v>129</v>
      </c>
      <c r="B12" s="193" t="s">
        <v>106</v>
      </c>
      <c r="C12" s="193" t="s">
        <v>107</v>
      </c>
      <c r="D12" s="194">
        <v>1048</v>
      </c>
      <c r="E12" s="194">
        <v>180440547</v>
      </c>
      <c r="F12" s="194">
        <v>0</v>
      </c>
      <c r="G12" s="194">
        <v>0</v>
      </c>
      <c r="H12" s="194">
        <v>1048</v>
      </c>
      <c r="I12" s="194">
        <v>180440547</v>
      </c>
      <c r="J12" s="194">
        <v>3</v>
      </c>
      <c r="K12" s="194">
        <v>556433</v>
      </c>
      <c r="L12" s="194">
        <v>866</v>
      </c>
      <c r="M12" s="194">
        <v>152127195</v>
      </c>
      <c r="N12" s="195">
        <v>82.63</v>
      </c>
      <c r="O12" s="195">
        <v>84.31</v>
      </c>
      <c r="P12" s="135">
        <f t="shared" si="0"/>
        <v>22900135.590000004</v>
      </c>
      <c r="R12" s="173" t="s">
        <v>75</v>
      </c>
      <c r="S12" s="176">
        <f t="shared" si="1"/>
        <v>152862316</v>
      </c>
      <c r="T12" s="175">
        <v>31197103.520000011</v>
      </c>
      <c r="U12" s="189">
        <f t="shared" si="2"/>
        <v>22033021.520000011</v>
      </c>
      <c r="V12" s="175">
        <f t="shared" si="3"/>
        <v>-9164082</v>
      </c>
    </row>
    <row r="13" spans="1:23" x14ac:dyDescent="0.45">
      <c r="A13" s="190" t="s">
        <v>179</v>
      </c>
      <c r="B13" s="190" t="s">
        <v>89</v>
      </c>
      <c r="C13" s="190" t="s">
        <v>90</v>
      </c>
      <c r="D13" s="191">
        <v>356</v>
      </c>
      <c r="E13" s="191">
        <v>53605661</v>
      </c>
      <c r="F13" s="191">
        <v>0</v>
      </c>
      <c r="G13" s="191">
        <v>0</v>
      </c>
      <c r="H13" s="191">
        <v>356</v>
      </c>
      <c r="I13" s="191">
        <v>53605661</v>
      </c>
      <c r="J13" s="191">
        <v>2</v>
      </c>
      <c r="K13" s="191">
        <v>353627</v>
      </c>
      <c r="L13" s="191">
        <v>290</v>
      </c>
      <c r="M13" s="191">
        <v>45077922</v>
      </c>
      <c r="N13" s="192">
        <v>81.459999999999994</v>
      </c>
      <c r="O13" s="192">
        <v>84.09</v>
      </c>
      <c r="P13" s="135">
        <f t="shared" si="0"/>
        <v>6919569.1700000018</v>
      </c>
      <c r="R13" s="173" t="s">
        <v>107</v>
      </c>
      <c r="S13" s="176">
        <f t="shared" si="1"/>
        <v>180440547</v>
      </c>
      <c r="T13" s="175">
        <v>31836007.590000004</v>
      </c>
      <c r="U13" s="189">
        <f t="shared" si="2"/>
        <v>22900135.590000004</v>
      </c>
      <c r="V13" s="175">
        <f t="shared" si="3"/>
        <v>-8935872</v>
      </c>
    </row>
    <row r="14" spans="1:23" x14ac:dyDescent="0.45">
      <c r="A14" s="193" t="s">
        <v>179</v>
      </c>
      <c r="B14" s="193" t="s">
        <v>114</v>
      </c>
      <c r="C14" s="193" t="s">
        <v>115</v>
      </c>
      <c r="D14" s="194">
        <v>559</v>
      </c>
      <c r="E14" s="194">
        <v>93597302</v>
      </c>
      <c r="F14" s="194">
        <v>0</v>
      </c>
      <c r="G14" s="194">
        <v>0</v>
      </c>
      <c r="H14" s="194">
        <v>559</v>
      </c>
      <c r="I14" s="194">
        <v>93597302</v>
      </c>
      <c r="J14" s="194">
        <v>0</v>
      </c>
      <c r="K14" s="194">
        <v>0</v>
      </c>
      <c r="L14" s="194">
        <v>460</v>
      </c>
      <c r="M14" s="194">
        <v>78494292</v>
      </c>
      <c r="N14" s="195">
        <v>82.29</v>
      </c>
      <c r="O14" s="195">
        <v>83.86</v>
      </c>
      <c r="P14" s="135">
        <f t="shared" si="0"/>
        <v>12295090.939999998</v>
      </c>
      <c r="R14" s="174" t="s">
        <v>72</v>
      </c>
      <c r="S14" s="176">
        <f t="shared" si="1"/>
        <v>162344260</v>
      </c>
      <c r="T14" s="175">
        <v>41712909.199999988</v>
      </c>
      <c r="U14" s="189">
        <f t="shared" si="2"/>
        <v>30539293.199999988</v>
      </c>
      <c r="V14" s="175">
        <f t="shared" si="3"/>
        <v>-11173616</v>
      </c>
    </row>
    <row r="15" spans="1:23" x14ac:dyDescent="0.45">
      <c r="A15" s="190" t="s">
        <v>179</v>
      </c>
      <c r="B15" s="190" t="s">
        <v>122</v>
      </c>
      <c r="C15" s="190" t="s">
        <v>123</v>
      </c>
      <c r="D15" s="191">
        <v>308</v>
      </c>
      <c r="E15" s="191">
        <v>51982396</v>
      </c>
      <c r="F15" s="191">
        <v>0</v>
      </c>
      <c r="G15" s="191">
        <v>0</v>
      </c>
      <c r="H15" s="191">
        <v>308</v>
      </c>
      <c r="I15" s="191">
        <v>51982396</v>
      </c>
      <c r="J15" s="191">
        <v>0</v>
      </c>
      <c r="K15" s="191">
        <v>0</v>
      </c>
      <c r="L15" s="191">
        <v>254</v>
      </c>
      <c r="M15" s="191">
        <v>43395854</v>
      </c>
      <c r="N15" s="192">
        <v>82.47</v>
      </c>
      <c r="O15" s="192">
        <v>83.48</v>
      </c>
      <c r="P15" s="135">
        <f t="shared" si="0"/>
        <v>7027070.1199999973</v>
      </c>
      <c r="R15" s="174" t="s">
        <v>113</v>
      </c>
      <c r="S15" s="176">
        <f t="shared" si="1"/>
        <v>194517020</v>
      </c>
      <c r="T15" s="175">
        <v>59633806.400000006</v>
      </c>
      <c r="U15" s="189">
        <f t="shared" si="2"/>
        <v>46118158.400000006</v>
      </c>
      <c r="V15" s="175">
        <f t="shared" si="3"/>
        <v>-13515648</v>
      </c>
    </row>
    <row r="16" spans="1:23" x14ac:dyDescent="0.45">
      <c r="A16" s="193" t="s">
        <v>129</v>
      </c>
      <c r="B16" s="193" t="s">
        <v>74</v>
      </c>
      <c r="C16" s="193" t="s">
        <v>75</v>
      </c>
      <c r="D16" s="194">
        <v>941</v>
      </c>
      <c r="E16" s="194">
        <v>152862316</v>
      </c>
      <c r="F16" s="194">
        <v>0</v>
      </c>
      <c r="G16" s="194">
        <v>0</v>
      </c>
      <c r="H16" s="194">
        <v>941</v>
      </c>
      <c r="I16" s="194">
        <v>152862316</v>
      </c>
      <c r="J16" s="194">
        <v>1</v>
      </c>
      <c r="K16" s="194">
        <v>119835</v>
      </c>
      <c r="L16" s="194">
        <v>749</v>
      </c>
      <c r="M16" s="194">
        <v>126243425</v>
      </c>
      <c r="N16" s="195">
        <v>79.599999999999994</v>
      </c>
      <c r="O16" s="195">
        <v>82.59</v>
      </c>
      <c r="P16" s="135">
        <f t="shared" si="0"/>
        <v>22033021.520000011</v>
      </c>
      <c r="R16" s="174" t="s">
        <v>119</v>
      </c>
      <c r="S16" s="176">
        <f t="shared" si="1"/>
        <v>189656153</v>
      </c>
      <c r="T16" s="175">
        <v>37566931.409999996</v>
      </c>
      <c r="U16" s="189">
        <f t="shared" si="2"/>
        <v>29992114.409999996</v>
      </c>
      <c r="V16" s="175">
        <f t="shared" si="3"/>
        <v>-7574817</v>
      </c>
    </row>
    <row r="17" spans="1:22" x14ac:dyDescent="0.45">
      <c r="A17" s="190" t="s">
        <v>179</v>
      </c>
      <c r="B17" s="190" t="s">
        <v>80</v>
      </c>
      <c r="C17" s="190" t="s">
        <v>81</v>
      </c>
      <c r="D17" s="191">
        <v>546</v>
      </c>
      <c r="E17" s="191">
        <v>89879995</v>
      </c>
      <c r="F17" s="191">
        <v>0</v>
      </c>
      <c r="G17" s="191">
        <v>0</v>
      </c>
      <c r="H17" s="191">
        <v>546</v>
      </c>
      <c r="I17" s="191">
        <v>89879995</v>
      </c>
      <c r="J17" s="191">
        <v>50</v>
      </c>
      <c r="K17" s="191">
        <v>9221509</v>
      </c>
      <c r="L17" s="191">
        <v>436</v>
      </c>
      <c r="M17" s="191">
        <v>74117019</v>
      </c>
      <c r="N17" s="192">
        <v>79.849999999999994</v>
      </c>
      <c r="O17" s="192">
        <v>82.46</v>
      </c>
      <c r="P17" s="135">
        <f t="shared" si="0"/>
        <v>13066576.149999991</v>
      </c>
      <c r="R17" s="173" t="s">
        <v>84</v>
      </c>
      <c r="S17" s="176">
        <f t="shared" si="1"/>
        <v>95369711</v>
      </c>
      <c r="T17" s="175">
        <v>22510770.670000002</v>
      </c>
      <c r="U17" s="189">
        <f t="shared" si="2"/>
        <v>17311017.670000002</v>
      </c>
      <c r="V17" s="175">
        <f t="shared" si="3"/>
        <v>-5199753</v>
      </c>
    </row>
    <row r="18" spans="1:22" x14ac:dyDescent="0.45">
      <c r="A18" s="193" t="s">
        <v>129</v>
      </c>
      <c r="B18" s="193" t="s">
        <v>77</v>
      </c>
      <c r="C18" s="193" t="s">
        <v>78</v>
      </c>
      <c r="D18" s="194">
        <v>683</v>
      </c>
      <c r="E18" s="194">
        <v>105983346</v>
      </c>
      <c r="F18" s="194">
        <v>0</v>
      </c>
      <c r="G18" s="194">
        <v>0</v>
      </c>
      <c r="H18" s="194">
        <v>683</v>
      </c>
      <c r="I18" s="194">
        <v>105983346</v>
      </c>
      <c r="J18" s="194">
        <v>0</v>
      </c>
      <c r="K18" s="194">
        <v>0</v>
      </c>
      <c r="L18" s="194">
        <v>552</v>
      </c>
      <c r="M18" s="194">
        <v>86701147</v>
      </c>
      <c r="N18" s="195">
        <v>80.819999999999993</v>
      </c>
      <c r="O18" s="195">
        <v>81.81</v>
      </c>
      <c r="P18" s="135">
        <f t="shared" si="0"/>
        <v>16102698.61999999</v>
      </c>
    </row>
    <row r="19" spans="1:22" x14ac:dyDescent="0.45">
      <c r="A19" s="190" t="s">
        <v>128</v>
      </c>
      <c r="B19" s="190" t="s">
        <v>116</v>
      </c>
      <c r="C19" s="190" t="s">
        <v>117</v>
      </c>
      <c r="D19" s="191">
        <v>642</v>
      </c>
      <c r="E19" s="191">
        <v>101866340</v>
      </c>
      <c r="F19" s="191">
        <v>0</v>
      </c>
      <c r="G19" s="191">
        <v>0</v>
      </c>
      <c r="H19" s="191">
        <v>642</v>
      </c>
      <c r="I19" s="191">
        <v>101866340</v>
      </c>
      <c r="J19" s="191">
        <v>0</v>
      </c>
      <c r="K19" s="191">
        <v>0</v>
      </c>
      <c r="L19" s="191">
        <v>504</v>
      </c>
      <c r="M19" s="191">
        <v>82757994</v>
      </c>
      <c r="N19" s="192">
        <v>78.5</v>
      </c>
      <c r="O19" s="192">
        <v>81.239999999999995</v>
      </c>
      <c r="P19" s="135">
        <f t="shared" si="0"/>
        <v>16052355.799999997</v>
      </c>
    </row>
    <row r="20" spans="1:22" x14ac:dyDescent="0.45">
      <c r="A20" s="193" t="s">
        <v>129</v>
      </c>
      <c r="B20" s="193" t="s">
        <v>118</v>
      </c>
      <c r="C20" s="193" t="s">
        <v>119</v>
      </c>
      <c r="D20" s="194">
        <v>1181</v>
      </c>
      <c r="E20" s="194">
        <v>189656153</v>
      </c>
      <c r="F20" s="194">
        <v>0</v>
      </c>
      <c r="G20" s="194">
        <v>0</v>
      </c>
      <c r="H20" s="194">
        <v>1181</v>
      </c>
      <c r="I20" s="194">
        <v>189656153</v>
      </c>
      <c r="J20" s="194">
        <v>1</v>
      </c>
      <c r="K20" s="194">
        <v>285000</v>
      </c>
      <c r="L20" s="194">
        <v>945</v>
      </c>
      <c r="M20" s="194">
        <v>153974354</v>
      </c>
      <c r="N20" s="195">
        <v>80.02</v>
      </c>
      <c r="O20" s="195">
        <v>81.19</v>
      </c>
      <c r="P20" s="135">
        <f t="shared" si="0"/>
        <v>29992114.409999996</v>
      </c>
    </row>
    <row r="21" spans="1:22" x14ac:dyDescent="0.45">
      <c r="A21" s="190" t="s">
        <v>128</v>
      </c>
      <c r="B21" s="190" t="s">
        <v>98</v>
      </c>
      <c r="C21" s="190" t="s">
        <v>99</v>
      </c>
      <c r="D21" s="191">
        <v>687</v>
      </c>
      <c r="E21" s="191">
        <v>105953075</v>
      </c>
      <c r="F21" s="191">
        <v>0</v>
      </c>
      <c r="G21" s="191">
        <v>0</v>
      </c>
      <c r="H21" s="191">
        <v>687</v>
      </c>
      <c r="I21" s="191">
        <v>105953075</v>
      </c>
      <c r="J21" s="191">
        <v>1</v>
      </c>
      <c r="K21" s="191">
        <v>165000</v>
      </c>
      <c r="L21" s="191">
        <v>532</v>
      </c>
      <c r="M21" s="191">
        <v>84081032</v>
      </c>
      <c r="N21" s="192">
        <v>77.44</v>
      </c>
      <c r="O21" s="192">
        <v>79.36</v>
      </c>
      <c r="P21" s="135">
        <f t="shared" si="0"/>
        <v>18693450.75</v>
      </c>
    </row>
    <row r="22" spans="1:22" x14ac:dyDescent="0.45">
      <c r="A22" s="193" t="s">
        <v>129</v>
      </c>
      <c r="B22" s="193" t="s">
        <v>83</v>
      </c>
      <c r="C22" s="193" t="s">
        <v>84</v>
      </c>
      <c r="D22" s="194">
        <v>588</v>
      </c>
      <c r="E22" s="194">
        <v>95369711</v>
      </c>
      <c r="F22" s="194">
        <v>0</v>
      </c>
      <c r="G22" s="194">
        <v>0</v>
      </c>
      <c r="H22" s="194">
        <v>588</v>
      </c>
      <c r="I22" s="194">
        <v>95369711</v>
      </c>
      <c r="J22" s="194">
        <v>1</v>
      </c>
      <c r="K22" s="194">
        <v>210000</v>
      </c>
      <c r="L22" s="194">
        <v>460</v>
      </c>
      <c r="M22" s="194">
        <v>75197602</v>
      </c>
      <c r="N22" s="195">
        <v>78.23</v>
      </c>
      <c r="O22" s="195">
        <v>78.849999999999994</v>
      </c>
      <c r="P22" s="135">
        <f t="shared" si="0"/>
        <v>17311017.670000002</v>
      </c>
    </row>
    <row r="23" spans="1:22" x14ac:dyDescent="0.45">
      <c r="A23" s="190" t="s">
        <v>179</v>
      </c>
      <c r="B23" s="190" t="s">
        <v>120</v>
      </c>
      <c r="C23" s="190" t="s">
        <v>121</v>
      </c>
      <c r="D23" s="191">
        <v>415</v>
      </c>
      <c r="E23" s="191">
        <v>66800107</v>
      </c>
      <c r="F23" s="191">
        <v>0</v>
      </c>
      <c r="G23" s="191">
        <v>0</v>
      </c>
      <c r="H23" s="191">
        <v>415</v>
      </c>
      <c r="I23" s="191">
        <v>66800107</v>
      </c>
      <c r="J23" s="191">
        <v>1</v>
      </c>
      <c r="K23" s="191">
        <v>237402</v>
      </c>
      <c r="L23" s="191">
        <v>314</v>
      </c>
      <c r="M23" s="191">
        <v>52293422</v>
      </c>
      <c r="N23" s="192">
        <v>75.66</v>
      </c>
      <c r="O23" s="192">
        <v>78.28</v>
      </c>
      <c r="P23" s="135">
        <f t="shared" si="0"/>
        <v>12502681.789999999</v>
      </c>
    </row>
    <row r="24" spans="1:22" x14ac:dyDescent="0.45">
      <c r="A24" s="193" t="s">
        <v>129</v>
      </c>
      <c r="B24" s="193" t="s">
        <v>71</v>
      </c>
      <c r="C24" s="193" t="s">
        <v>72</v>
      </c>
      <c r="D24" s="194">
        <v>968</v>
      </c>
      <c r="E24" s="194">
        <v>162344260</v>
      </c>
      <c r="F24" s="194">
        <v>0</v>
      </c>
      <c r="G24" s="194">
        <v>0</v>
      </c>
      <c r="H24" s="194">
        <v>968</v>
      </c>
      <c r="I24" s="194">
        <v>162344260</v>
      </c>
      <c r="J24" s="194">
        <v>1</v>
      </c>
      <c r="K24" s="194">
        <v>109968</v>
      </c>
      <c r="L24" s="194">
        <v>756</v>
      </c>
      <c r="M24" s="194">
        <v>126934639</v>
      </c>
      <c r="N24" s="195">
        <v>78.099999999999994</v>
      </c>
      <c r="O24" s="195">
        <v>78.19</v>
      </c>
      <c r="P24" s="135">
        <f t="shared" si="0"/>
        <v>30539293.199999988</v>
      </c>
    </row>
    <row r="25" spans="1:22" x14ac:dyDescent="0.45">
      <c r="A25" s="190" t="s">
        <v>128</v>
      </c>
      <c r="B25" s="190" t="s">
        <v>86</v>
      </c>
      <c r="C25" s="190" t="s">
        <v>87</v>
      </c>
      <c r="D25" s="191">
        <v>853</v>
      </c>
      <c r="E25" s="191">
        <v>141474291</v>
      </c>
      <c r="F25" s="191">
        <v>0</v>
      </c>
      <c r="G25" s="191">
        <v>0</v>
      </c>
      <c r="H25" s="191">
        <v>853</v>
      </c>
      <c r="I25" s="191">
        <v>141474291</v>
      </c>
      <c r="J25" s="191">
        <v>1</v>
      </c>
      <c r="K25" s="191">
        <v>245000</v>
      </c>
      <c r="L25" s="191">
        <v>664</v>
      </c>
      <c r="M25" s="191">
        <v>110512462</v>
      </c>
      <c r="N25" s="192">
        <v>77.84</v>
      </c>
      <c r="O25" s="192">
        <v>78.11</v>
      </c>
      <c r="P25" s="135">
        <f t="shared" si="0"/>
        <v>26717600.270000011</v>
      </c>
    </row>
    <row r="26" spans="1:22" x14ac:dyDescent="0.45">
      <c r="A26" s="193" t="s">
        <v>129</v>
      </c>
      <c r="B26" s="193" t="s">
        <v>112</v>
      </c>
      <c r="C26" s="193" t="s">
        <v>113</v>
      </c>
      <c r="D26" s="194">
        <v>1198</v>
      </c>
      <c r="E26" s="194">
        <v>194517020</v>
      </c>
      <c r="F26" s="194">
        <v>0</v>
      </c>
      <c r="G26" s="194">
        <v>0</v>
      </c>
      <c r="H26" s="194">
        <v>1198</v>
      </c>
      <c r="I26" s="194">
        <v>194517020</v>
      </c>
      <c r="J26" s="194">
        <v>1</v>
      </c>
      <c r="K26" s="194">
        <v>380000</v>
      </c>
      <c r="L26" s="194">
        <v>856</v>
      </c>
      <c r="M26" s="194">
        <v>142563351</v>
      </c>
      <c r="N26" s="195">
        <v>71.45</v>
      </c>
      <c r="O26" s="195">
        <v>73.290000000000006</v>
      </c>
      <c r="P26" s="135">
        <f t="shared" si="0"/>
        <v>46118158.400000006</v>
      </c>
    </row>
    <row r="27" spans="1:22" x14ac:dyDescent="0.45">
      <c r="A27" s="190" t="s">
        <v>128</v>
      </c>
      <c r="B27" s="190" t="s">
        <v>109</v>
      </c>
      <c r="C27" s="190" t="s">
        <v>110</v>
      </c>
      <c r="D27" s="191">
        <v>892</v>
      </c>
      <c r="E27" s="191">
        <v>149379338</v>
      </c>
      <c r="F27" s="191">
        <v>0</v>
      </c>
      <c r="G27" s="191">
        <v>0</v>
      </c>
      <c r="H27" s="191">
        <v>892</v>
      </c>
      <c r="I27" s="191">
        <v>149379338</v>
      </c>
      <c r="J27" s="191">
        <v>2</v>
      </c>
      <c r="K27" s="191">
        <v>282349</v>
      </c>
      <c r="L27" s="191">
        <v>632</v>
      </c>
      <c r="M27" s="191">
        <v>103410409</v>
      </c>
      <c r="N27" s="192">
        <v>70.849999999999994</v>
      </c>
      <c r="O27" s="192">
        <v>69.23</v>
      </c>
      <c r="P27" s="135">
        <f t="shared" si="0"/>
        <v>41487548.859999985</v>
      </c>
    </row>
  </sheetData>
  <mergeCells count="19"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  <mergeCell ref="U5:U6"/>
    <mergeCell ref="V5:V6"/>
    <mergeCell ref="R5:R6"/>
    <mergeCell ref="S5:S6"/>
    <mergeCell ref="T5:T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2026-02-24T22:35:30Z</dcterms:modified>
</cp:coreProperties>
</file>