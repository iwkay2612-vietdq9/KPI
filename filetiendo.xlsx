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TH NV" sheetId="1" r:id="rId1"/>
    <sheet name="điểm NV" sheetId="2" r:id="rId2"/>
    <sheet name="tiến độ" sheetId="3" r:id="rId3"/>
    <sheet name="GBOC" sheetId="4" r:id="rId4"/>
    <sheet name="Giao CT" sheetId="5" r:id="rId5"/>
    <sheet name="VDS" sheetId="6" r:id="rId6"/>
    <sheet name="KPI năm" sheetId="7" r:id="rId7"/>
    <sheet name="KH ngay" sheetId="8" r:id="rId8"/>
    <sheet name="Sheet2" sheetId="9" r:id="rId9"/>
    <sheet name="gboc" sheetId="10" r:id="rId10"/>
    <sheet name="cuoc" sheetId="11" r:id="rId11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'VDS'!A1:F31</definedName>
    <definedName name="_xlnm.Print_Area" localSheetId="0">'TH NV'!#REF!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43" formatCode="_(* #,##0.00_);_(* \(#,##0.00\);_(* &quot;-&quot;??_);_(@_)"/>
    <numFmt numFmtId="56" formatCode="&quot;上午/下午 &quot;hh&quot;時&quot;mm&quot;分&quot;ss&quot;秒 &quot;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8</v>
      </c>
      <c r="AL5">
        <f>200%-IFERROR(AK5/AJ5,0)</f>
        <v>0</v>
      </c>
      <c r="AM5">
        <f>MAX(AL5,0)</f>
        <v>0</v>
      </c>
      <c r="AN5">
        <f>VLOOKUP(C5,'Giao CT'!$D$6:$S$20,12,0)</f>
        <v>5</v>
      </c>
      <c r="AO5">
        <v>10</v>
      </c>
      <c r="AP5">
        <f>200%-IFERROR(AO5/AN5,0)</f>
        <v>0</v>
      </c>
      <c r="AQ5">
        <f>MAX(AP5,0)</f>
        <v>0</v>
      </c>
      <c r="AR5">
        <v>0.97</v>
      </c>
      <c r="AS5">
        <f>(VLOOKUP(B5,cuoc!$B$7:$P$27,14,0))*1%</f>
        <v>0.7398</v>
      </c>
      <c r="AT5">
        <f>IF(AS5&lt;94.5%,0,IF(AS5&lt;95.54%,50%,IF(AS5&lt;AR5,80%,100%+(30%*(AS5-AR5)/3.39%))))</f>
        <v>0</v>
      </c>
      <c r="AU5">
        <f>AR5-AS5</f>
        <v>0.23019999999999996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f>VLOOKUP(C6,GBOC!$E$7:$DG$29,$B$28,0)</f>
        <v>0</v>
      </c>
      <c r="AL6">
        <f>200%-IFERROR(AK6/AJ6,0)</f>
        <v>2</v>
      </c>
      <c r="AM6">
        <f>MAX(AL6,0)</f>
        <v>2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0.6234000000000001</v>
      </c>
      <c r="AT6">
        <f>IF(AS6&lt;94.5%,0,IF(AS6&lt;95.54%,50%,IF(AS6&lt;AR6,80%,100%+(30%*(AS6-AR6)/3.39%))))</f>
        <v>0</v>
      </c>
      <c r="AU6">
        <f>AR6-AS6</f>
        <v>0.3465999999999999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f>VLOOKUP(C7,GBOC!$E$7:$DG$29,$B$28,0)</f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0.6981</v>
      </c>
      <c r="AT7">
        <f>IF(AS7&lt;94.5%,0,IF(AS7&lt;95.54%,50%,IF(AS7&lt;AR7,80%,100%+(30%*(AS7-AR7)/3.39%))))</f>
        <v>0</v>
      </c>
      <c r="AU7">
        <f>AR7-AS7</f>
        <v>0.2718999999999999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f>VLOOKUP(C8,GBOC!$E$7:$DG$29,$B$28,0)</f>
        <v>0</v>
      </c>
      <c r="AL8">
        <f>200%-IFERROR(AK8/AJ8,0)</f>
        <v>2</v>
      </c>
      <c r="AM8">
        <f>MAX(AL8,0)</f>
        <v>2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0.2741</v>
      </c>
      <c r="AT8">
        <f>IF(AS8&lt;94.5%,0,IF(AS8&lt;95.54%,50%,IF(AS8&lt;AR8,80%,100%+(30%*(AS8-AR8)/3.39%))))</f>
        <v>0</v>
      </c>
      <c r="AU8">
        <f>AR8-AS8</f>
        <v>0.6959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6</v>
      </c>
      <c r="Z9">
        <f>IFERROR(Y9/X9,0)</f>
        <v>6</v>
      </c>
      <c r="AA9">
        <f>X9-Y9</f>
        <v>-5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f>VLOOKUP(C9,GBOC!$E$7:$DG$29,$B$28,0)</f>
        <v>0</v>
      </c>
      <c r="AL9">
        <f>200%-IFERROR(AK9/AJ9,0)</f>
        <v>2</v>
      </c>
      <c r="AM9">
        <f>MAX(AL9,0)</f>
        <v>2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0.5147</v>
      </c>
      <c r="AT9">
        <f>IF(AS9&lt;94.5%,0,IF(AS9&lt;95.54%,50%,IF(AS9&lt;AR9,80%,100%+(30%*(AS9-AR9)/3.39%))))</f>
        <v>0</v>
      </c>
      <c r="AU9">
        <f>AR9-AS9</f>
        <v>0.4552999999999999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1</v>
      </c>
      <c r="Z10">
        <f>IFERROR(Y10/X10,0)</f>
        <v>1</v>
      </c>
      <c r="AA10">
        <f>X10-Y10</f>
        <v>0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f>VLOOKUP(C10,GBOC!$E$7:$DG$29,$B$28,0)</f>
        <v>0</v>
      </c>
      <c r="AL10">
        <f>200%-IFERROR(AK10/AJ10,0)</f>
        <v>2</v>
      </c>
      <c r="AM10">
        <f>MAX(AL10,0)</f>
        <v>2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0.4648</v>
      </c>
      <c r="AT10">
        <f>IF(AS10&lt;94.5%,0,IF(AS10&lt;95.54%,50%,IF(AS10&lt;AR10,80%,100%+(30%*(AS10-AR10)/3.39%))))</f>
        <v>0</v>
      </c>
      <c r="AU10">
        <f>AR10-AS10</f>
        <v>0.5052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f>VLOOKUP(C11,GBOC!$E$7:$DG$29,$B$28,0)</f>
        <v>0</v>
      </c>
      <c r="AL11">
        <f>200%-IFERROR(AK11/AJ11,0)</f>
        <v>2</v>
      </c>
      <c r="AM11">
        <f>MAX(AL11,0)</f>
        <v>2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0.598</v>
      </c>
      <c r="AT11">
        <f>IF(AS11&lt;94.5%,0,IF(AS11&lt;95.54%,50%,IF(AS11&lt;AR11,80%,100%+(30%*(AS11-AR11)/3.39%))))</f>
        <v>0</v>
      </c>
      <c r="AU11">
        <f>AR11-AS11</f>
        <v>0.372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48</v>
      </c>
      <c r="AD12">
        <f>IFERROR(AC12/AB12,0)</f>
        <v>1.6</v>
      </c>
      <c r="AE12">
        <f>AB12-AC12</f>
        <v>-18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f>VLOOKUP(C12,GBOC!$E$7:$DG$29,$B$28,0)</f>
        <v>0</v>
      </c>
      <c r="AL12">
        <f>200%-IFERROR(AK12/AJ12,0)</f>
        <v>2</v>
      </c>
      <c r="AM12">
        <f>MAX(AL12,0)</f>
        <v>2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0.5123</v>
      </c>
      <c r="AT12">
        <f>IF(AS12&lt;94.5%,0,IF(AS12&lt;95.54%,50%,IF(AS12&lt;AR12,80%,100%+(30%*(AS12-AR12)/3.39%))))</f>
        <v>0</v>
      </c>
      <c r="AU12">
        <f>AR12-AS12</f>
        <v>0.4577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54</v>
      </c>
      <c r="AD13">
        <f>IFERROR(AC13/AB13,0)</f>
        <v>1.8</v>
      </c>
      <c r="AE13">
        <f>AB13-AC13</f>
        <v>-24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f>VLOOKUP(C13,GBOC!$E$7:$DG$29,$B$28,0)</f>
        <v>0</v>
      </c>
      <c r="AL13">
        <f>200%-IFERROR(AK13/AJ13,0)</f>
        <v>2</v>
      </c>
      <c r="AM13">
        <f>MAX(AL13,0)</f>
        <v>2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0.6944</v>
      </c>
      <c r="AT13">
        <f>IF(AS13&lt;94.5%,0,IF(AS13&lt;95.54%,50%,IF(AS13&lt;AR13,80%,100%+(30%*(AS13-AR13)/3.39%))))</f>
        <v>0</v>
      </c>
      <c r="AU13">
        <f>AR13-AS13</f>
        <v>0.27559999999999996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f>VLOOKUP(C14,GBOC!$E$7:$DG$29,$B$28,0)</f>
        <v>0</v>
      </c>
      <c r="AL14">
        <f>200%-IFERROR(AK14/AJ14,0)</f>
        <v>2</v>
      </c>
      <c r="AM14">
        <f>MAX(AL14,0)</f>
        <v>2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0.46770000000000006</v>
      </c>
      <c r="AT14">
        <f>IF(AS14&lt;94.5%,0,IF(AS14&lt;95.54%,50%,IF(AS14&lt;AR14,80%,100%+(30%*(AS14-AR14)/3.39%))))</f>
        <v>0</v>
      </c>
      <c r="AU14">
        <f>AR14-AS14</f>
        <v>0.5023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3</v>
      </c>
      <c r="AH15">
        <f>IFERROR(AG15/AF15,0)</f>
        <v>0.375</v>
      </c>
      <c r="AI15">
        <f>AF15-AG15</f>
        <v>5</v>
      </c>
      <c r="AJ15">
        <f>VLOOKUP(C15,'Giao CT'!$D$6:$S$20,11,0)</f>
        <v>4</v>
      </c>
      <c r="AK15">
        <f>VLOOKUP(C15,GBOC!$E$7:$DG$29,$B$28,0)</f>
        <v>0</v>
      </c>
      <c r="AL15">
        <f>200%-IFERROR(AK15/AJ15,0)</f>
        <v>2</v>
      </c>
      <c r="AM15">
        <f>MAX(AL15,0)</f>
        <v>2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1</v>
      </c>
      <c r="Z16">
        <f>IFERROR(Y16/X16,0)</f>
        <v>1</v>
      </c>
      <c r="AA16">
        <f>X16-Y16</f>
        <v>0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f>VLOOKUP(C16,GBOC!$E$7:$DG$29,$B$28,0)</f>
        <v>0</v>
      </c>
      <c r="AL16">
        <f>200%-IFERROR(AK16/AJ16,0)</f>
        <v>2</v>
      </c>
      <c r="AM16">
        <f>MAX(AL16,0)</f>
        <v>2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0.6679</v>
      </c>
      <c r="AT16">
        <f>IF(AS16&lt;94.5%,0,IF(AS16&lt;95.54%,50%,IF(AS16&lt;AR16,80%,100%+(30%*(AS16-AR16)/3.39%))))</f>
        <v>0</v>
      </c>
      <c r="AU16">
        <f>AR16-AS16</f>
        <v>0.3020999999999999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20</v>
      </c>
      <c r="Z17">
        <f>IFERROR(Y17/X17,0)</f>
        <v>20</v>
      </c>
      <c r="AA17">
        <f>X17-Y17</f>
        <v>-19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f>VLOOKUP(C17,GBOC!$E$7:$DG$29,$B$28,0)</f>
        <v>0</v>
      </c>
      <c r="AL17">
        <f>200%-IFERROR(AK17/AJ17,0)</f>
        <v>2</v>
      </c>
      <c r="AM17">
        <f>MAX(AL17,0)</f>
        <v>2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0.7053</v>
      </c>
      <c r="AT17">
        <f>IF(AS17&lt;94.5%,0,IF(AS17&lt;95.54%,50%,IF(AS17&lt;AR17,80%,100%+(30%*(AS17-AR17)/3.39%))))</f>
        <v>0</v>
      </c>
      <c r="AU17">
        <f>AR17-AS17</f>
        <v>0.26469999999999994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f>VLOOKUP(C18,GBOC!$E$7:$DG$29,$B$28,0)</f>
        <v>0</v>
      </c>
      <c r="AL18">
        <f>200%-IFERROR(AK18/AJ18,0)</f>
        <v>2</v>
      </c>
      <c r="AM18">
        <f>MAX(AL18,0)</f>
        <v>2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0.6817000000000001</v>
      </c>
      <c r="AT18">
        <f>IF(AS18&lt;94.5%,0,IF(AS18&lt;95.54%,50%,IF(AS18&lt;AR18,80%,100%+(30%*(AS18-AR18)/3.39%))))</f>
        <v>0</v>
      </c>
      <c r="AU18">
        <f>AR18-AS18</f>
        <v>0.2882999999999999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46073</v>
      </c>
      <c r="I19">
        <f>DAY(F19)</f>
        <v>20</v>
      </c>
      <c r="J19">
        <v>31</v>
      </c>
      <c r="K19">
        <f>I19/J19</f>
        <v>0.6451612903225806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21"/>
  <sheetViews>
    <sheetView workbookViewId="0" rightToLeft="0"/>
  </sheetViews>
  <sheetData>
    <row r="1">
      <c r="A1" t="str">
        <v>STT</v>
      </c>
      <c r="B1" t="str">
        <v>Bảng tính điểm cá nhân Kinh doanh</v>
      </c>
    </row>
    <row r="2">
      <c r="B2" t="str">
        <v>Lê Trọng An</v>
      </c>
      <c r="C2" t="str">
        <v>KH</v>
      </c>
      <c r="D2" t="str">
        <v>TH</v>
      </c>
      <c r="E2" t="str">
        <v>Tỷ lệ hoàn thành</v>
      </c>
      <c r="F2" t="str">
        <v>Tỷ lệ hoàn thành</v>
      </c>
      <c r="G2" t="str">
        <v>Điểm Chuẩn</v>
      </c>
      <c r="H2" t="str">
        <v>Điểm tối đa</v>
      </c>
      <c r="I2" t="str">
        <v>Điểm Đạt theo chỉ tiêu</v>
      </c>
      <c r="J2" t="str">
        <v>Thiếu để đạt 100%</v>
      </c>
      <c r="K2" t="str">
        <v>Lưu ý, đỏ là đã dư Mốc 100%. Anh em canh số lượng ô  màu vàng để làm</v>
      </c>
    </row>
    <row r="3">
      <c r="A3" t="str">
        <v>A</v>
      </c>
      <c r="B3" t="str">
        <v xml:space="preserve">CHỈ TIÊU KINH DOANH VTT: </v>
      </c>
      <c r="G3">
        <f>SUM(G4:G14)</f>
        <v>101</v>
      </c>
      <c r="H3">
        <f>SUM(H4:H14)</f>
        <v>125.7</v>
      </c>
      <c r="L3" t="str">
        <v>mã dữ liệu ko xoá</v>
      </c>
    </row>
    <row r="4">
      <c r="A4">
        <v>1</v>
      </c>
      <c r="B4" t="str">
        <v>TBTS_PTM (gồm CĐ)</v>
      </c>
      <c r="C4">
        <f>VLOOKUP($B$2,'TH NV'!$A$5:$BG$18,'điểm NV'!M8,0)</f>
        <v>4</v>
      </c>
      <c r="D4">
        <f>VLOOKUP($B$2,'TH NV'!$A$5:$BG$18,N8,0)</f>
        <v>4</v>
      </c>
      <c r="E4">
        <f>D4/C4</f>
        <v>1</v>
      </c>
      <c r="F4">
        <f>MAX(E4,0)</f>
        <v>1</v>
      </c>
      <c r="G4">
        <v>10</v>
      </c>
      <c r="H4">
        <f>G4*1.2</f>
        <v>12</v>
      </c>
      <c r="I4">
        <f>IF(F4&gt;=1.3,G4*1.3,F4*G4)</f>
        <v>10</v>
      </c>
      <c r="J4">
        <f>C4-D4</f>
        <v>0</v>
      </c>
      <c r="L4" t="str">
        <v>TB FTTH phát triển mới</v>
      </c>
      <c r="M4">
        <v>4</v>
      </c>
      <c r="N4">
        <f>M4+1</f>
        <v>5</v>
      </c>
    </row>
    <row r="5">
      <c r="A5">
        <v>2</v>
      </c>
      <c r="B5" t="str">
        <v xml:space="preserve">Số chu kỳ mua gói 5G: </v>
      </c>
      <c r="C5">
        <f>VLOOKUP($B$2,'TH NV'!$A$5:$BG$18,'điểm NV'!M10,0)</f>
        <v>30</v>
      </c>
      <c r="D5">
        <f>VLOOKUP($B$2,'TH NV'!$A$5:$BG$18,N10,0)</f>
        <v>21</v>
      </c>
      <c r="E5">
        <f>D5/C5</f>
        <v>0.7</v>
      </c>
      <c r="F5">
        <f>MAX(E5,0)</f>
        <v>0.7</v>
      </c>
      <c r="G5">
        <v>10</v>
      </c>
      <c r="H5">
        <f>G5*1.3</f>
        <v>13</v>
      </c>
      <c r="I5">
        <f>IF(F5&gt;=1.2,G5*1.2,F5*G5)</f>
        <v>7</v>
      </c>
      <c r="J5">
        <f>C5-D5</f>
        <v>9</v>
      </c>
      <c r="L5" t="str">
        <v>Supernet PTM</v>
      </c>
      <c r="M5">
        <v>8</v>
      </c>
      <c r="N5">
        <f>M5+1</f>
        <v>9</v>
      </c>
    </row>
    <row r="6">
      <c r="A6">
        <v>3</v>
      </c>
      <c r="B6" t="str">
        <v>Thuê bao FTTH phát triển mới</v>
      </c>
      <c r="C6">
        <f>VLOOKUP($B$2,'TH NV'!$A$5:$BG$18,'điểm NV'!M4,0)</f>
        <v>8</v>
      </c>
      <c r="D6">
        <f>VLOOKUP($B$2,'TH NV'!$A$5:$BG$18,N4,0)</f>
        <v>7</v>
      </c>
      <c r="E6">
        <f>D6/C6</f>
        <v>0.875</v>
      </c>
      <c r="F6">
        <f>MAX(E6,0)</f>
        <v>0.875</v>
      </c>
      <c r="G6">
        <v>15</v>
      </c>
      <c r="H6">
        <f>G6*1.3</f>
        <v>19.5</v>
      </c>
      <c r="I6">
        <f>IF(F6&gt;=1.3,G6*1.3,F6*G6)</f>
        <v>13.125</v>
      </c>
      <c r="J6">
        <f>C6-D6</f>
        <v>1</v>
      </c>
      <c r="L6" t="str">
        <v>Camera Đấu nối và bán đứt mua icloud</v>
      </c>
      <c r="M6">
        <v>12</v>
      </c>
      <c r="N6">
        <f>M6+1</f>
        <v>13</v>
      </c>
    </row>
    <row r="7">
      <c r="A7">
        <v>4</v>
      </c>
      <c r="B7" t="str">
        <v>Thuê bao FTTH Supernet  PTM và nâng cấp</v>
      </c>
      <c r="C7">
        <f>VLOOKUP($B$2,'TH NV'!$A$5:$BG$18,'điểm NV'!M5,0)</f>
        <v>4</v>
      </c>
      <c r="D7">
        <f>VLOOKUP($B$2,'TH NV'!$A$5:$BG$18,N5,0)</f>
        <v>6</v>
      </c>
      <c r="E7">
        <f>D7/C7</f>
        <v>1.5</v>
      </c>
      <c r="F7">
        <f>MAX(E7,0)</f>
        <v>1.5</v>
      </c>
      <c r="G7">
        <v>10</v>
      </c>
      <c r="H7">
        <f>G7*1.2</f>
        <v>12</v>
      </c>
      <c r="I7">
        <f>IF(F7&gt;=1.2,G7*1.2,F7*G7)</f>
        <v>12</v>
      </c>
      <c r="J7">
        <f>C7-D7</f>
        <v>-2</v>
      </c>
      <c r="L7" t="str">
        <v>THS Đôi dây PTM</v>
      </c>
      <c r="M7">
        <v>16</v>
      </c>
      <c r="N7">
        <f>M7+1</f>
        <v>17</v>
      </c>
    </row>
    <row r="8">
      <c r="A8">
        <v>5</v>
      </c>
      <c r="B8" t="str">
        <v>TB Truyền hình MHL phát triển mới trên đôi dây FTTH</v>
      </c>
      <c r="C8">
        <f>VLOOKUP($B$2,'TH NV'!$A$5:$BG$18,'điểm NV'!M7,0)</f>
        <v>5</v>
      </c>
      <c r="D8">
        <f>VLOOKUP($B$2,'TH NV'!$A$5:$BG$18,N7,0)</f>
        <v>6</v>
      </c>
      <c r="E8">
        <f>(D8/C8)</f>
        <v>1.2</v>
      </c>
      <c r="F8">
        <f>MAX(E8,0)</f>
        <v>1.2</v>
      </c>
      <c r="G8">
        <v>10</v>
      </c>
      <c r="H8">
        <f>G8*1.3</f>
        <v>13</v>
      </c>
      <c r="I8">
        <f>IF(F8&gt;=1.2,G8*1.2,F8*G8)</f>
        <v>12</v>
      </c>
      <c r="J8">
        <f>C8-D8</f>
        <v>-1</v>
      </c>
      <c r="L8" t="str">
        <v>Thuê Bao trả sau</v>
      </c>
      <c r="M8">
        <v>20</v>
      </c>
      <c r="N8">
        <f>M8+1</f>
        <v>21</v>
      </c>
    </row>
    <row r="9">
      <c r="A9">
        <v>6</v>
      </c>
      <c r="B9" t="str">
        <v>TB TH rời mạng cho phép</v>
      </c>
      <c r="C9">
        <f>VLOOKUP($B$2,'TH NV'!$A$5:$BG$18,'điểm NV'!M12,0)</f>
        <v>4</v>
      </c>
      <c r="D9">
        <f>VLOOKUP($B$2,'TH NV'!$A$5:$BG$18,N12,0)</f>
        <v>8</v>
      </c>
      <c r="E9">
        <f>200%-(D9/C9)</f>
        <v>0</v>
      </c>
      <c r="F9">
        <f>MAX(E9,0)</f>
        <v>0</v>
      </c>
      <c r="G9">
        <v>10</v>
      </c>
      <c r="H9">
        <f>G9*1.2</f>
        <v>12</v>
      </c>
      <c r="I9">
        <f>IF(F9&gt;=1.2,G9*1.2,F9*G9)</f>
        <v>0</v>
      </c>
      <c r="J9">
        <f>C9-D9</f>
        <v>-4</v>
      </c>
      <c r="L9" t="str">
        <v>Thuê bao thực 4G</v>
      </c>
      <c r="M9">
        <v>24</v>
      </c>
      <c r="N9">
        <f>M9+1</f>
        <v>25</v>
      </c>
    </row>
    <row r="10">
      <c r="A10">
        <v>7</v>
      </c>
      <c r="B10" t="str">
        <v>TB FTTH Rời mạng</v>
      </c>
      <c r="C10">
        <f>VLOOKUP($B$2,'TH NV'!$A$5:$BG$18,'điểm NV'!M13,0)</f>
        <v>5</v>
      </c>
      <c r="D10">
        <f>VLOOKUP($B$2,'TH NV'!$A$5:$BG$18,N13,0)</f>
        <v>10</v>
      </c>
      <c r="E10">
        <f>200%-IFERROR(D10/C10,2)</f>
        <v>0</v>
      </c>
      <c r="F10">
        <f>MAX(E10,0)</f>
        <v>0</v>
      </c>
      <c r="G10">
        <v>10</v>
      </c>
      <c r="H10">
        <f>G10*1.2</f>
        <v>12</v>
      </c>
      <c r="I10">
        <f>IF(F10&gt;=1.2,G10*1.2,F10*G10)</f>
        <v>0</v>
      </c>
      <c r="J10">
        <f>C10-D10</f>
        <v>-5</v>
      </c>
      <c r="L10" t="str">
        <v>Thuê bao  5G</v>
      </c>
      <c r="M10">
        <v>28</v>
      </c>
      <c r="N10">
        <f>M10+1</f>
        <v>29</v>
      </c>
    </row>
    <row r="11">
      <c r="A11">
        <v>8</v>
      </c>
      <c r="B11" t="str">
        <v>TB TH TV360 MHN Phát triển mới</v>
      </c>
      <c r="C11">
        <f>VLOOKUP($B$2,'TH NV'!$A$5:$BG$18,'điểm NV'!M11,0)</f>
        <v>9</v>
      </c>
      <c r="D11">
        <f>VLOOKUP($B$2,'TH NV'!$A$5:$BG$18,N11,0)</f>
        <v>12</v>
      </c>
      <c r="E11">
        <f>D11/C11</f>
        <v>1.3333333333333333</v>
      </c>
      <c r="F11">
        <f>MAX(E11,0)</f>
        <v>1.3333333333333333</v>
      </c>
      <c r="G11">
        <v>5</v>
      </c>
      <c r="H11">
        <f>G11*1.2</f>
        <v>6</v>
      </c>
      <c r="I11">
        <f>IF(F11&gt;=1.2,G11*1.2,F11*G11)</f>
        <v>6</v>
      </c>
      <c r="J11">
        <f>C11-D11</f>
        <v>-3</v>
      </c>
      <c r="L11" t="str">
        <v>Thuê bao standard</v>
      </c>
      <c r="M11">
        <v>32</v>
      </c>
      <c r="N11">
        <f>M11+1</f>
        <v>33</v>
      </c>
    </row>
    <row r="12">
      <c r="A12">
        <v>9</v>
      </c>
      <c r="B12" t="str">
        <v>Mybox</v>
      </c>
      <c r="C12">
        <f>VLOOKUP($B$2,'TH NV'!$A$5:$BG$18,'điểm NV'!M16,0)</f>
        <v>1</v>
      </c>
      <c r="D12">
        <f>VLOOKUP($B$2,'TH NV'!$A$5:$BG$18,N16,0)</f>
        <v>1</v>
      </c>
      <c r="F12">
        <f>MAX(E12,0)</f>
        <v>0</v>
      </c>
      <c r="G12">
        <v>1</v>
      </c>
      <c r="H12">
        <f>G12*1.2</f>
        <v>1.2</v>
      </c>
      <c r="I12">
        <f>IF(F12&gt;=1.2,G12*1.2,F12*G12)</f>
        <v>0</v>
      </c>
      <c r="J12">
        <f>C12-D12</f>
        <v>0</v>
      </c>
      <c r="L12" t="str">
        <v>Rời mạng THS</v>
      </c>
      <c r="M12">
        <v>36</v>
      </c>
      <c r="N12">
        <f>M12+1</f>
        <v>37</v>
      </c>
    </row>
    <row r="13">
      <c r="A13">
        <v>10</v>
      </c>
      <c r="B13" t="str">
        <v>Sản lượng Thuê bao IOT HGĐ</v>
      </c>
      <c r="C13">
        <f>VLOOKUP($B$2,'TH NV'!$A$5:$BG$18,'điểm NV'!M6,0)+VLOOKUP($B$2,'TH NV'!$A$5:$BG$18,'điểm NV'!M17,0)</f>
        <v>5</v>
      </c>
      <c r="D13">
        <f>VLOOKUP($B$2,'TH NV'!$A$5:$BG$18,N6,0)+VLOOKUP($B$2,'TH NV'!$A$5:$BG$18,N17,0)</f>
        <v>5</v>
      </c>
      <c r="E13">
        <f>D13/C13</f>
        <v>1</v>
      </c>
      <c r="F13">
        <f>MAX(E13,0)</f>
        <v>1</v>
      </c>
      <c r="G13">
        <v>10</v>
      </c>
      <c r="H13">
        <f>G13*1.2</f>
        <v>12</v>
      </c>
      <c r="I13">
        <f>IF(F13&gt;=1.2,G13*1.2,F13*G13)</f>
        <v>10</v>
      </c>
      <c r="J13">
        <f>C13-D13</f>
        <v>0</v>
      </c>
      <c r="L13" t="str">
        <v>Rời mạng FTTH</v>
      </c>
      <c r="M13">
        <v>40</v>
      </c>
      <c r="N13">
        <f>M13+1</f>
        <v>41</v>
      </c>
    </row>
    <row r="14">
      <c r="A14">
        <v>11</v>
      </c>
      <c r="B14" t="str">
        <v>Tỷ lệ thu cước trả sau N1-N3</v>
      </c>
      <c r="C14">
        <v>0.97</v>
      </c>
      <c r="D14">
        <f>VLOOKUP($B$2,'TH NV'!$A$5:$BG$18,N14,0)</f>
        <v>0.7398</v>
      </c>
      <c r="E14" t="e">
        <f>VLOOKUP($B$2,'TH NV'!$A$1:$BG$18,70,0)</f>
        <v>#REF!</v>
      </c>
      <c r="F14">
        <f>IF(D14&lt;94.5%,0,IF(D14&lt;95.54%,50%,IF(D14&lt;C14,80%,100%+(30%*(D14-C14)/3.66%))))</f>
        <v>0</v>
      </c>
      <c r="G14">
        <v>10</v>
      </c>
      <c r="H14">
        <f>G14*1.3</f>
        <v>13</v>
      </c>
      <c r="I14">
        <f>IF(F14&gt;=1.3,G14*1.3,F14*G14)</f>
        <v>0</v>
      </c>
      <c r="J14">
        <f>C14-D14</f>
        <v>0.23019999999999996</v>
      </c>
      <c r="L14" t="str">
        <v>Cước N1- N3</v>
      </c>
      <c r="N14">
        <v>45</v>
      </c>
    </row>
    <row r="15">
      <c r="B15" t="str">
        <v>Tô vàng 130%</v>
      </c>
      <c r="C15" t="str">
        <v>Tổng Điểm hoàn thành</v>
      </c>
      <c r="I15">
        <f>SUM(I4:I14)</f>
        <v>70.125</v>
      </c>
      <c r="L15" t="str">
        <v>Khôi phục THS</v>
      </c>
      <c r="M15">
        <v>48</v>
      </c>
      <c r="N15">
        <f>M15+1</f>
        <v>49</v>
      </c>
    </row>
    <row r="16">
      <c r="L16" t="str">
        <v>Thuê Bao mybox</v>
      </c>
      <c r="M16">
        <v>52</v>
      </c>
      <c r="N16">
        <f>M16+1</f>
        <v>53</v>
      </c>
    </row>
    <row r="17">
      <c r="L17" t="str">
        <v>MYKID</v>
      </c>
      <c r="M17">
        <v>56</v>
      </c>
      <c r="N17">
        <f>M17+1</f>
        <v>57</v>
      </c>
    </row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ageMargins left="0.6999125161508876" right="0.6999125161508876" top="0.7499062639521802" bottom="0.7499062639521802" header="0.2999625102741512" footer="0.2999625102741512"/>
  <ignoredErrors>
    <ignoredError numberStoredAsText="1" sqref="A1:N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G34"/>
  <sheetViews>
    <sheetView workbookViewId="0" rightToLeft="0"/>
  </sheetViews>
  <sheetData>
    <row r="1">
      <c r="D1" t="str">
        <v>Dịch vụ cố định</v>
      </c>
      <c r="T1" t="str">
        <v>Dịch vụ di động</v>
      </c>
      <c r="AJ1" t="str">
        <v>CHỈ TIÊU CƯỚC - CSKH</v>
      </c>
      <c r="AV1" t="str">
        <v>CHƯƠNG TRÌNH TRỌNG ĐIỂM</v>
      </c>
    </row>
    <row r="2">
      <c r="D2" t="str">
        <v>TB FTTH phát triển mới</v>
      </c>
      <c r="H2" t="str">
        <v>Supernet PTM</v>
      </c>
      <c r="L2" t="str">
        <v>Camera Đấu nối và bán đứt mua icloud</v>
      </c>
      <c r="P2" t="str">
        <v>THS Đôi dây PTM</v>
      </c>
      <c r="T2" t="str">
        <v>Thuê Bao trả sau</v>
      </c>
      <c r="X2" t="str">
        <v>Thuê bao thực 4G</v>
      </c>
      <c r="AB2" t="str">
        <v>Thuê bao  5G</v>
      </c>
      <c r="AF2" t="str">
        <v>Thuê bao standard</v>
      </c>
      <c r="AJ2" t="str">
        <v>Rời mạng THS</v>
      </c>
      <c r="AN2" t="str">
        <v>Rời mạng FTTH</v>
      </c>
      <c r="AR2" t="str">
        <v>Cước N1- N3</v>
      </c>
      <c r="AV2" t="str">
        <v>Khôi phục THS</v>
      </c>
      <c r="AZ2" t="str">
        <v>Thuê Bao mybox</v>
      </c>
      <c r="BD2" t="str">
        <v>MYKID</v>
      </c>
    </row>
    <row r="3">
      <c r="B3" t="str">
        <v>USER CNKD</v>
      </c>
      <c r="C3" t="str">
        <v>NV Quản Lý</v>
      </c>
      <c r="D3" t="str">
        <v>KH</v>
      </c>
      <c r="E3" t="str">
        <v>TH</v>
      </c>
      <c r="F3" t="str">
        <v>%</v>
      </c>
      <c r="G3" t="str">
        <v>Thiếu</v>
      </c>
      <c r="H3" t="str">
        <v>KH</v>
      </c>
      <c r="I3" t="str">
        <v>TH</v>
      </c>
      <c r="J3" t="str">
        <v>%</v>
      </c>
      <c r="K3" t="str">
        <v>Thiếu</v>
      </c>
      <c r="L3" t="str">
        <v>KH</v>
      </c>
      <c r="M3" t="str">
        <v>TH</v>
      </c>
      <c r="N3" t="str">
        <v>%</v>
      </c>
      <c r="O3" t="str">
        <v>Thiếu</v>
      </c>
      <c r="P3" t="str">
        <v>KH</v>
      </c>
      <c r="Q3" t="str">
        <v>TH</v>
      </c>
      <c r="R3" t="str">
        <v>%</v>
      </c>
      <c r="S3" t="str">
        <v>Thiếu</v>
      </c>
      <c r="T3" t="str">
        <v>KH</v>
      </c>
      <c r="U3" t="str">
        <v>TH</v>
      </c>
      <c r="V3" t="str">
        <v>%</v>
      </c>
      <c r="W3" t="str">
        <v>Thiếu</v>
      </c>
      <c r="X3" t="str">
        <v>KH</v>
      </c>
      <c r="Y3" t="str">
        <v>TH</v>
      </c>
      <c r="Z3" t="str">
        <v>%</v>
      </c>
      <c r="AA3" t="str">
        <v>Thiếu</v>
      </c>
      <c r="AB3" t="str">
        <v>KH</v>
      </c>
      <c r="AC3" t="str">
        <v>TH</v>
      </c>
      <c r="AD3" t="str">
        <v>%</v>
      </c>
      <c r="AE3" t="str">
        <v>Thiếu</v>
      </c>
      <c r="AF3" t="str">
        <v>KH</v>
      </c>
      <c r="AG3" t="str">
        <v>TH</v>
      </c>
      <c r="AH3" t="str">
        <v>%</v>
      </c>
      <c r="AI3" t="str">
        <v>Thiếu</v>
      </c>
      <c r="AJ3" t="str">
        <v>KH</v>
      </c>
      <c r="AK3" t="str">
        <v>TH</v>
      </c>
      <c r="AL3" t="str">
        <v>%</v>
      </c>
      <c r="AM3" t="str">
        <v>còn được</v>
      </c>
      <c r="AN3" t="str">
        <v>KH</v>
      </c>
      <c r="AO3" t="str">
        <v>TH</v>
      </c>
      <c r="AP3" t="str">
        <v>%</v>
      </c>
      <c r="AQ3" t="str">
        <v>còn được</v>
      </c>
      <c r="AR3" t="str">
        <v>KH</v>
      </c>
      <c r="AS3" t="str">
        <v>TH</v>
      </c>
      <c r="AT3" t="str">
        <v>ĐẠT</v>
      </c>
      <c r="AU3" t="str">
        <v>thiếu</v>
      </c>
      <c r="AV3" t="str">
        <v>KH</v>
      </c>
      <c r="AW3" t="str">
        <v>TH</v>
      </c>
      <c r="AX3" t="str">
        <v>%</v>
      </c>
      <c r="AY3" t="str">
        <v>Thiếu</v>
      </c>
      <c r="AZ3" t="str">
        <v>KH</v>
      </c>
      <c r="BA3" t="str">
        <v>TH</v>
      </c>
      <c r="BB3" t="str">
        <v>%</v>
      </c>
      <c r="BC3" t="str">
        <v>Thiếu</v>
      </c>
      <c r="BD3" t="str">
        <v>KH</v>
      </c>
      <c r="BE3" t="str">
        <v>TH</v>
      </c>
      <c r="BF3" t="str">
        <v>%</v>
      </c>
      <c r="BG3" t="str">
        <v>Thiếu</v>
      </c>
    </row>
    <row r="4">
      <c r="A4" t="str">
        <v>CNKD_LDG_ANLT</v>
      </c>
      <c r="B4" t="str">
        <v>ANLT_LDG_CNKD</v>
      </c>
      <c r="C4" t="str">
        <v>VIETDQ9_NVKDDB_LDG</v>
      </c>
      <c r="D4">
        <f>VLOOKUP(A4,'Giao CT'!$D$6:$S$20,3,0)</f>
        <v>8</v>
      </c>
      <c r="E4">
        <f>VLOOKUP(A4,GBOC!$E$7:$DG$29,$B$21,0)</f>
        <v>7</v>
      </c>
      <c r="F4">
        <f>IFERROR(E4/D4,0)</f>
        <v>0.875</v>
      </c>
      <c r="G4">
        <f>D4-E4</f>
        <v>1</v>
      </c>
      <c r="H4">
        <f>VLOOKUP(A4,'Giao CT'!$D$6:$S$20,4,0)</f>
        <v>4</v>
      </c>
      <c r="I4">
        <f>VLOOKUP(A4,GBOC!$E$7:$DG$29,$B$22,0)</f>
        <v>6</v>
      </c>
      <c r="J4">
        <f>IFERROR(I4/H4,0)</f>
        <v>1.5</v>
      </c>
      <c r="K4">
        <f>H4-I4</f>
        <v>-2</v>
      </c>
      <c r="L4">
        <f>VLOOKUP(A4,'Giao CT'!$D$6:$S$20,5,0)</f>
        <v>5</v>
      </c>
      <c r="M4">
        <f>VLOOKUP(A4,GBOC!$E$7:$DG$29,$B$23,0)</f>
        <v>5</v>
      </c>
      <c r="N4">
        <f>IFERROR(M4/L4,0)</f>
        <v>1</v>
      </c>
      <c r="O4">
        <f>L4-M4</f>
        <v>0</v>
      </c>
      <c r="P4">
        <f>VLOOKUP(A4,'Giao CT'!$D$6:$S$20,6,0)</f>
        <v>5</v>
      </c>
      <c r="Q4">
        <f>VLOOKUP(A4,GBOC!$E$7:$DG$29,$B$24,0)</f>
        <v>6</v>
      </c>
      <c r="R4">
        <f>IFERROR(Q4/P4,0)</f>
        <v>1.2</v>
      </c>
      <c r="S4">
        <f>P4-Q4</f>
        <v>-1</v>
      </c>
      <c r="T4">
        <f>VLOOKUP(A4,'Giao CT'!$D$6:$S$20,7,0)</f>
        <v>4</v>
      </c>
      <c r="U4">
        <f>VLOOKUP(A4,GBOC!$E$7:$DG$29,$B$25,0)</f>
        <v>4</v>
      </c>
      <c r="V4">
        <f>IFERROR(U4/T4,0)</f>
        <v>1</v>
      </c>
      <c r="W4">
        <f>T4-U4</f>
        <v>0</v>
      </c>
      <c r="X4">
        <f>VLOOKUP(A4,'Giao CT'!$D$6:$S$20,8,0)</f>
        <v>1</v>
      </c>
      <c r="Y4">
        <f>VLOOKUP(A4,GBOC!$E$7:$DG$29,$B$26,0)</f>
        <v>1</v>
      </c>
      <c r="Z4">
        <f>IFERROR(Y4/X4,0)</f>
        <v>1</v>
      </c>
      <c r="AA4">
        <f>X4-Y4</f>
        <v>0</v>
      </c>
      <c r="AB4">
        <f>VLOOKUP(A4,'Giao CT'!$D$6:$S$20,9,0)</f>
        <v>30</v>
      </c>
      <c r="AC4">
        <f>VLOOKUP(A4,GBOC!$E$7:$DG$29,$B$27,0)</f>
        <v>21</v>
      </c>
      <c r="AD4">
        <f>IFERROR(AC4/AB4,0)</f>
        <v>0.7</v>
      </c>
      <c r="AE4">
        <f>AB4-AC4</f>
        <v>9</v>
      </c>
      <c r="AF4">
        <f>VLOOKUP(A4,'Giao CT'!$D$6:$S$20,10,0)</f>
        <v>9</v>
      </c>
      <c r="AG4">
        <f>VLOOKUP(A4,GBOC!$E$7:$DG$29,$B$28,0)</f>
        <v>12</v>
      </c>
      <c r="AH4">
        <f>IFERROR(AG4/AF4,0)</f>
        <v>1.3333333333333333</v>
      </c>
      <c r="AI4">
        <f>AF4-AG4</f>
        <v>-3</v>
      </c>
      <c r="AJ4">
        <f>VLOOKUP(A4,'Giao CT'!$D$6:$S$20,11,0)</f>
        <v>4</v>
      </c>
      <c r="AK4">
        <f>VLOOKUP(A4,GBOC!$E$7:$DG$29,$B$29,0)</f>
        <v>0</v>
      </c>
      <c r="AL4">
        <f>200%-IFERROR(AK4/AJ4,0)</f>
        <v>2</v>
      </c>
      <c r="AM4">
        <f>MAX(AL4,0)</f>
        <v>2</v>
      </c>
      <c r="AN4">
        <f>VLOOKUP(A4,'Giao CT'!$D$6:$S$20,12,0)</f>
        <v>5</v>
      </c>
      <c r="AO4">
        <f>VLOOKUP(A4,GBOC!$E$7:$DG$29,$B$30,0)</f>
        <v>0</v>
      </c>
      <c r="AP4">
        <f>200%-IFERROR(AO4/AN4,0)</f>
        <v>2</v>
      </c>
      <c r="AQ4">
        <f>MAX(AP4,0)</f>
        <v>2</v>
      </c>
      <c r="AR4">
        <v>0.97</v>
      </c>
      <c r="AS4">
        <f>(VLOOKUP(B4,cuoc!$B$7:$P$27,14,0))*1%</f>
        <v>0.7398</v>
      </c>
      <c r="AT4">
        <f>IF(AS4&lt;94.5%,0,IF(AS4&lt;95.54%,50%,IF(AS4&lt;AR4,80%,100%+(30%*(AS4-AR4)/3.39%))))</f>
        <v>0</v>
      </c>
      <c r="AU4">
        <f>AR4-AS4</f>
        <v>0.23019999999999996</v>
      </c>
      <c r="AV4">
        <f>VLOOKUP(A4,'Giao CT'!$D$6:$S$20,14,0)</f>
        <v>2</v>
      </c>
      <c r="AW4">
        <f>VLOOKUP(A4,GBOC!$E$7:$DG$29,$B$32,0)</f>
        <v>0</v>
      </c>
      <c r="AX4">
        <f>AW4/AV4</f>
        <v>0</v>
      </c>
      <c r="AY4">
        <f>AV4-AW4</f>
        <v>2</v>
      </c>
      <c r="AZ4">
        <f>VLOOKUP(A4,'Giao CT'!$D$6:$S$20,15,0)</f>
        <v>1</v>
      </c>
      <c r="BA4">
        <f>VLOOKUP(A4,GBOC!$E$7:$DG$29,$B$33,0)</f>
        <v>1</v>
      </c>
      <c r="BB4">
        <f>IFERROR(BA4/AZ4,1)</f>
        <v>1</v>
      </c>
      <c r="BC4">
        <f>AZ4-BA4</f>
        <v>0</v>
      </c>
      <c r="BD4">
        <f>VLOOKUP(A4,'Giao CT'!$D$6:$S$20,16,0)</f>
        <v>0</v>
      </c>
      <c r="BE4">
        <f>VLOOKUP(A4,GBOC!$E$7:$DG$29,$B$34,0)</f>
        <v>0</v>
      </c>
      <c r="BF4">
        <f>IFERROR(BE4/BD4,1)</f>
        <v>1</v>
      </c>
      <c r="BG4">
        <f>BD4-BE4</f>
        <v>0</v>
      </c>
    </row>
    <row r="5">
      <c r="A5" t="str">
        <v>CNKD_LDG_LINHPM</v>
      </c>
      <c r="B5" t="str">
        <v>LINHPM_LDG_CNKD</v>
      </c>
      <c r="C5" t="str">
        <v>VIETDQ9_NVKDDB_LDG</v>
      </c>
      <c r="D5">
        <f>VLOOKUP(A5,'Giao CT'!$D$6:$S$20,3,0)</f>
        <v>8</v>
      </c>
      <c r="E5">
        <f>VLOOKUP(A5,GBOC!$E$7:$DG$29,$B$21,0)</f>
        <v>8</v>
      </c>
      <c r="F5">
        <f>IFERROR(E5/D5,0)</f>
        <v>1</v>
      </c>
      <c r="G5">
        <f>D5-E5</f>
        <v>0</v>
      </c>
      <c r="H5">
        <f>VLOOKUP(A5,'Giao CT'!$D$6:$S$20,4,0)</f>
        <v>4</v>
      </c>
      <c r="I5">
        <f>VLOOKUP(A5,GBOC!$E$7:$DG$29,$B$22,0)</f>
        <v>3</v>
      </c>
      <c r="J5">
        <f>IFERROR(I5/H5,0)</f>
        <v>0.75</v>
      </c>
      <c r="K5">
        <f>H5-I5</f>
        <v>1</v>
      </c>
      <c r="L5">
        <f>VLOOKUP(A5,'Giao CT'!$D$6:$S$20,5,0)</f>
        <v>5</v>
      </c>
      <c r="M5">
        <f>VLOOKUP(A5,GBOC!$E$7:$DG$29,$B$23,0)</f>
        <v>4</v>
      </c>
      <c r="N5">
        <f>IFERROR(M5/L5,0)</f>
        <v>0.8</v>
      </c>
      <c r="O5">
        <f>L5-M5</f>
        <v>1</v>
      </c>
      <c r="P5">
        <f>VLOOKUP(A5,'Giao CT'!$D$6:$S$20,6,0)</f>
        <v>5</v>
      </c>
      <c r="Q5">
        <f>VLOOKUP(A5,GBOC!$E$7:$DG$29,$B$24,0)</f>
        <v>1</v>
      </c>
      <c r="R5">
        <f>IFERROR(Q5/P5,0)</f>
        <v>0.2</v>
      </c>
      <c r="S5">
        <f>P5-Q5</f>
        <v>4</v>
      </c>
      <c r="T5">
        <f>VLOOKUP(A5,'Giao CT'!$D$6:$S$20,7,0)</f>
        <v>4</v>
      </c>
      <c r="U5">
        <f>VLOOKUP(A5,GBOC!$E$7:$DG$29,$B$25,0)</f>
        <v>3</v>
      </c>
      <c r="V5">
        <f>IFERROR(U5/T5,0)</f>
        <v>0.75</v>
      </c>
      <c r="W5">
        <f>T5-U5</f>
        <v>1</v>
      </c>
      <c r="X5">
        <f>VLOOKUP(A5,'Giao CT'!$D$6:$S$20,8,0)</f>
        <v>1</v>
      </c>
      <c r="Y5">
        <f>VLOOKUP(A5,GBOC!$E$7:$DG$29,$B$26,0)</f>
        <v>0</v>
      </c>
      <c r="Z5">
        <f>IFERROR(Y5/X5,0)</f>
        <v>0</v>
      </c>
      <c r="AA5">
        <f>X5-Y5</f>
        <v>1</v>
      </c>
      <c r="AB5">
        <f>VLOOKUP(A5,'Giao CT'!$D$6:$S$20,9,0)</f>
        <v>50</v>
      </c>
      <c r="AC5">
        <f>VLOOKUP(A5,GBOC!$E$7:$DG$29,$B$27,0)</f>
        <v>66</v>
      </c>
      <c r="AD5">
        <f>IFERROR(AC5/AB5,0)</f>
        <v>1.32</v>
      </c>
      <c r="AE5">
        <f>AB5-AC5</f>
        <v>-16</v>
      </c>
      <c r="AF5">
        <f>VLOOKUP(A5,'Giao CT'!$D$6:$S$20,10,0)</f>
        <v>9</v>
      </c>
      <c r="AG5">
        <f>VLOOKUP(A5,GBOC!$E$7:$DG$29,$B$28,0)</f>
        <v>11</v>
      </c>
      <c r="AH5">
        <f>IFERROR(AG5/AF5,0)</f>
        <v>1.2222222222222223</v>
      </c>
      <c r="AI5">
        <f>AF5-AG5</f>
        <v>-2</v>
      </c>
      <c r="AJ5">
        <f>VLOOKUP(A5,'Giao CT'!$D$6:$S$20,11,0)</f>
        <v>4</v>
      </c>
      <c r="AK5">
        <f>VLOOKUP(A5,GBOC!$E$7:$DG$29,$B$29,0)</f>
        <v>0</v>
      </c>
      <c r="AL5">
        <f>200%-IFERROR(AK5/AJ5,0)</f>
        <v>2</v>
      </c>
      <c r="AM5">
        <f>MAX(AL5,0)</f>
        <v>2</v>
      </c>
      <c r="AN5">
        <f>VLOOKUP(A5,'Giao CT'!$D$6:$S$20,12,0)</f>
        <v>5</v>
      </c>
      <c r="AO5">
        <f>VLOOKUP(A5,GBOC!$E$7:$DG$29,$B$30,0)</f>
        <v>0</v>
      </c>
      <c r="AP5">
        <f>200%-IFERROR(AO5/AN5,0)</f>
        <v>2</v>
      </c>
      <c r="AQ5">
        <f>MAX(AP5,0)</f>
        <v>2</v>
      </c>
      <c r="AR5">
        <v>0.97</v>
      </c>
      <c r="AS5">
        <f>(VLOOKUP(B5,cuoc!$B$7:$P$27,14,0))*1%</f>
        <v>0.598</v>
      </c>
      <c r="AT5">
        <f>IF(AS5&lt;94.5%,0,IF(AS5&lt;95.54%,50%,IF(AS5&lt;AR5,80%,100%+(30%*(AS5-AR5)/3.39%))))</f>
        <v>0</v>
      </c>
      <c r="AU5">
        <f>AR5-AS5</f>
        <v>0.372</v>
      </c>
      <c r="AV5">
        <f>VLOOKUP(A5,'Giao CT'!$D$6:$S$20,14,0)</f>
        <v>2</v>
      </c>
      <c r="AW5">
        <f>VLOOKUP(A5,GBOC!$E$7:$DG$29,$B$32,0)</f>
        <v>0</v>
      </c>
      <c r="AX5">
        <f>AW5/AV5</f>
        <v>0</v>
      </c>
      <c r="AY5">
        <f>AV5-AW5</f>
        <v>2</v>
      </c>
      <c r="AZ5">
        <f>VLOOKUP(A5,'Giao CT'!$D$6:$S$20,15,0)</f>
        <v>1</v>
      </c>
      <c r="BA5">
        <f>VLOOKUP(A5,GBOC!$E$7:$DG$29,$B$33,0)</f>
        <v>0</v>
      </c>
      <c r="BB5">
        <f>IFERROR(BA5/AZ5,1)</f>
        <v>0</v>
      </c>
      <c r="BC5">
        <f>AZ5-BA5</f>
        <v>1</v>
      </c>
      <c r="BD5">
        <f>VLOOKUP(A5,'Giao CT'!$D$6:$S$20,16,0)</f>
        <v>1</v>
      </c>
      <c r="BE5">
        <f>VLOOKUP(A5,GBOC!$E$7:$DG$29,$B$34,0)</f>
        <v>0</v>
      </c>
      <c r="BF5">
        <f>IFERROR(BE5/BD5,1)</f>
        <v>0</v>
      </c>
      <c r="BG5">
        <f>BD5-BE5</f>
        <v>1</v>
      </c>
    </row>
    <row r="6">
      <c r="A6" t="str">
        <v>CNKD_LDG_NHUANVD</v>
      </c>
      <c r="B6" t="str">
        <v>NHUANVD_LDG_CNKD</v>
      </c>
      <c r="C6" t="str">
        <v>VIETDQ9_NVKDDB_LDG</v>
      </c>
      <c r="D6">
        <f>VLOOKUP(A6,'Giao CT'!$D$6:$S$20,3,0)</f>
        <v>8</v>
      </c>
      <c r="E6">
        <f>VLOOKUP(A6,GBOC!$E$7:$DG$29,$B$21,0)</f>
        <v>9</v>
      </c>
      <c r="F6">
        <f>IFERROR(E6/D6,0)</f>
        <v>1.125</v>
      </c>
      <c r="G6">
        <f>D6-E6</f>
        <v>-1</v>
      </c>
      <c r="H6">
        <f>VLOOKUP(A6,'Giao CT'!$D$6:$S$20,4,0)</f>
        <v>4</v>
      </c>
      <c r="I6">
        <f>VLOOKUP(A6,GBOC!$E$7:$DG$29,$B$22,0)</f>
        <v>2</v>
      </c>
      <c r="J6">
        <f>IFERROR(I6/H6,0)</f>
        <v>0.5</v>
      </c>
      <c r="K6">
        <f>H6-I6</f>
        <v>2</v>
      </c>
      <c r="L6">
        <f>VLOOKUP(A6,'Giao CT'!$D$6:$S$20,5,0)</f>
        <v>5</v>
      </c>
      <c r="M6">
        <f>VLOOKUP(A6,GBOC!$E$7:$DG$29,$B$23,0)</f>
        <v>3</v>
      </c>
      <c r="N6">
        <f>IFERROR(M6/L6,0)</f>
        <v>0.6</v>
      </c>
      <c r="O6">
        <f>L6-M6</f>
        <v>2</v>
      </c>
      <c r="P6">
        <f>VLOOKUP(A6,'Giao CT'!$D$6:$S$20,6,0)</f>
        <v>5</v>
      </c>
      <c r="Q6">
        <f>VLOOKUP(A6,GBOC!$E$7:$DG$29,$B$24,0)</f>
        <v>6</v>
      </c>
      <c r="R6">
        <f>IFERROR(Q6/P6,0)</f>
        <v>1.2</v>
      </c>
      <c r="S6">
        <f>P6-Q6</f>
        <v>-1</v>
      </c>
      <c r="T6">
        <f>VLOOKUP(A6,'Giao CT'!$D$6:$S$20,7,0)</f>
        <v>3</v>
      </c>
      <c r="U6">
        <f>VLOOKUP(A6,GBOC!$E$7:$DG$29,$B$25,0)</f>
        <v>2</v>
      </c>
      <c r="V6">
        <f>IFERROR(U6/T6,0)</f>
        <v>0.6666666666666666</v>
      </c>
      <c r="W6">
        <f>T6-U6</f>
        <v>1</v>
      </c>
      <c r="X6">
        <f>VLOOKUP(A6,'Giao CT'!$D$6:$S$20,8,0)</f>
        <v>1</v>
      </c>
      <c r="Y6">
        <f>VLOOKUP(A6,GBOC!$E$7:$DG$29,$B$26,0)</f>
        <v>1</v>
      </c>
      <c r="Z6">
        <f>IFERROR(Y6/X6,0)</f>
        <v>1</v>
      </c>
      <c r="AA6">
        <f>X6-Y6</f>
        <v>0</v>
      </c>
      <c r="AB6">
        <f>VLOOKUP(A6,'Giao CT'!$D$6:$S$20,9,0)</f>
        <v>30</v>
      </c>
      <c r="AC6">
        <f>VLOOKUP(A6,GBOC!$E$7:$DG$29,$B$27,0)</f>
        <v>48</v>
      </c>
      <c r="AD6">
        <f>IFERROR(AC6/AB6,0)</f>
        <v>1.6</v>
      </c>
      <c r="AE6">
        <f>AB6-AC6</f>
        <v>-18</v>
      </c>
      <c r="AF6">
        <f>VLOOKUP(A6,'Giao CT'!$D$6:$S$20,10,0)</f>
        <v>9</v>
      </c>
      <c r="AG6">
        <f>VLOOKUP(A6,GBOC!$E$7:$DG$29,$B$28,0)</f>
        <v>11</v>
      </c>
      <c r="AH6">
        <f>IFERROR(AG6/AF6,0)</f>
        <v>1.2222222222222223</v>
      </c>
      <c r="AI6">
        <f>AF6-AG6</f>
        <v>-2</v>
      </c>
      <c r="AJ6">
        <f>VLOOKUP(A6,'Giao CT'!$D$6:$S$20,11,0)</f>
        <v>4</v>
      </c>
      <c r="AK6">
        <f>VLOOKUP(A6,GBOC!$E$7:$DG$29,$B$29,0)</f>
        <v>0</v>
      </c>
      <c r="AL6">
        <f>200%-IFERROR(AK6/AJ6,0)</f>
        <v>2</v>
      </c>
      <c r="AM6">
        <f>MAX(AL6,0)</f>
        <v>2</v>
      </c>
      <c r="AN6">
        <f>VLOOKUP(A6,'Giao CT'!$D$6:$S$20,12,0)</f>
        <v>5</v>
      </c>
      <c r="AO6">
        <f>VLOOKUP(A6,GBOC!$E$7:$DG$29,$B$30,0)</f>
        <v>0</v>
      </c>
      <c r="AP6">
        <f>200%-IFERROR(AO6/AN6,0)</f>
        <v>2</v>
      </c>
      <c r="AQ6">
        <f>MAX(AP6,0)</f>
        <v>2</v>
      </c>
      <c r="AR6">
        <v>0.97</v>
      </c>
      <c r="AS6">
        <f>(VLOOKUP(B6,cuoc!$B$7:$P$27,14,0))*1%</f>
        <v>0.5123</v>
      </c>
      <c r="AT6">
        <f>IF(AS6&lt;94.5%,0,IF(AS6&lt;95.54%,50%,IF(AS6&lt;AR6,80%,100%+(30%*(AS6-AR6)/3.39%))))</f>
        <v>0</v>
      </c>
      <c r="AU6">
        <f>AR6-AS6</f>
        <v>0.4577</v>
      </c>
      <c r="AV6">
        <f>VLOOKUP(A6,'Giao CT'!$D$6:$S$20,14,0)</f>
        <v>3</v>
      </c>
      <c r="AW6">
        <f>VLOOKUP(A6,GBOC!$E$7:$DG$29,$B$32,0)</f>
        <v>0</v>
      </c>
      <c r="AX6">
        <f>AW6/AV6</f>
        <v>0</v>
      </c>
      <c r="AY6">
        <f>AV6-AW6</f>
        <v>3</v>
      </c>
      <c r="AZ6">
        <f>VLOOKUP(A6,'Giao CT'!$D$6:$S$20,15,0)</f>
        <v>1</v>
      </c>
      <c r="BA6">
        <f>VLOOKUP(A6,GBOC!$E$7:$DG$29,$B$33,0)</f>
        <v>1</v>
      </c>
      <c r="BB6">
        <f>IFERROR(BA6/AZ6,1)</f>
        <v>1</v>
      </c>
      <c r="BC6">
        <f>AZ6-BA6</f>
        <v>0</v>
      </c>
      <c r="BD6">
        <f>VLOOKUP(A6,'Giao CT'!$D$6:$S$20,16,0)</f>
        <v>0</v>
      </c>
      <c r="BE6">
        <f>VLOOKUP(A6,GBOC!$E$7:$DG$29,$B$34,0)</f>
        <v>0</v>
      </c>
      <c r="BF6">
        <f>IFERROR(BE6/BD6,1)</f>
        <v>1</v>
      </c>
      <c r="BG6">
        <f>BD6-BE6</f>
        <v>0</v>
      </c>
    </row>
    <row r="7">
      <c r="A7" t="str">
        <v>CNKD_LDG_SANGLT</v>
      </c>
      <c r="B7" t="str">
        <v>SANGLT_LDG_CNKD</v>
      </c>
      <c r="C7" t="str">
        <v>VIETDQ9_NVKDDB_LDG</v>
      </c>
      <c r="D7">
        <f>VLOOKUP(A7,'Giao CT'!$D$6:$S$20,3,0)</f>
        <v>8</v>
      </c>
      <c r="E7">
        <f>VLOOKUP(A7,GBOC!$E$7:$DG$29,$B$21,0)</f>
        <v>8</v>
      </c>
      <c r="F7">
        <f>IFERROR(E7/D7,0)</f>
        <v>1</v>
      </c>
      <c r="G7">
        <f>D7-E7</f>
        <v>0</v>
      </c>
      <c r="H7">
        <f>VLOOKUP(A7,'Giao CT'!$D$6:$S$20,4,0)</f>
        <v>4</v>
      </c>
      <c r="I7">
        <f>VLOOKUP(A7,GBOC!$E$7:$DG$29,$B$22,0)</f>
        <v>2</v>
      </c>
      <c r="J7">
        <f>IFERROR(I7/H7,0)</f>
        <v>0.5</v>
      </c>
      <c r="K7">
        <f>H7-I7</f>
        <v>2</v>
      </c>
      <c r="L7">
        <f>VLOOKUP(A7,'Giao CT'!$D$6:$S$20,5,0)</f>
        <v>5</v>
      </c>
      <c r="M7">
        <f>VLOOKUP(A7,GBOC!$E$7:$DG$29,$B$23,0)</f>
        <v>1</v>
      </c>
      <c r="N7">
        <f>IFERROR(M7/L7,0)</f>
        <v>0.2</v>
      </c>
      <c r="O7">
        <f>L7-M7</f>
        <v>4</v>
      </c>
      <c r="P7">
        <f>VLOOKUP(A7,'Giao CT'!$D$6:$S$20,6,0)</f>
        <v>5</v>
      </c>
      <c r="Q7">
        <f>VLOOKUP(A7,GBOC!$E$7:$DG$29,$B$24,0)</f>
        <v>3</v>
      </c>
      <c r="R7">
        <f>IFERROR(Q7/P7,0)</f>
        <v>0.6</v>
      </c>
      <c r="S7">
        <f>P7-Q7</f>
        <v>2</v>
      </c>
      <c r="T7">
        <f>VLOOKUP(A7,'Giao CT'!$D$6:$S$20,7,0)</f>
        <v>3</v>
      </c>
      <c r="U7">
        <f>VLOOKUP(A7,GBOC!$E$7:$DG$29,$B$25,0)</f>
        <v>1</v>
      </c>
      <c r="V7">
        <f>IFERROR(U7/T7,0)</f>
        <v>0.3333333333333333</v>
      </c>
      <c r="W7">
        <f>T7-U7</f>
        <v>2</v>
      </c>
      <c r="X7">
        <f>VLOOKUP(A7,'Giao CT'!$D$6:$S$20,8,0)</f>
        <v>1</v>
      </c>
      <c r="Y7">
        <f>VLOOKUP(A7,GBOC!$E$7:$DG$29,$B$26,0)</f>
        <v>1</v>
      </c>
      <c r="Z7">
        <f>IFERROR(Y7/X7,0)</f>
        <v>1</v>
      </c>
      <c r="AA7">
        <f>X7-Y7</f>
        <v>0</v>
      </c>
      <c r="AB7">
        <f>VLOOKUP(A7,'Giao CT'!$D$6:$S$20,9,0)</f>
        <v>30</v>
      </c>
      <c r="AC7">
        <f>VLOOKUP(A7,GBOC!$E$7:$DG$29,$B$27,0)</f>
        <v>13</v>
      </c>
      <c r="AD7">
        <f>IFERROR(AC7/AB7,0)</f>
        <v>0.43333333333333335</v>
      </c>
      <c r="AE7">
        <f>AB7-AC7</f>
        <v>17</v>
      </c>
      <c r="AF7">
        <f>VLOOKUP(A7,'Giao CT'!$D$6:$S$20,10,0)</f>
        <v>9</v>
      </c>
      <c r="AG7">
        <f>VLOOKUP(A7,GBOC!$E$7:$DG$29,$B$28,0)</f>
        <v>0</v>
      </c>
      <c r="AH7">
        <f>IFERROR(AG7/AF7,0)</f>
        <v>0</v>
      </c>
      <c r="AI7">
        <f>AF7-AG7</f>
        <v>9</v>
      </c>
      <c r="AJ7">
        <f>VLOOKUP(A7,'Giao CT'!$D$6:$S$20,11,0)</f>
        <v>4</v>
      </c>
      <c r="AK7">
        <f>VLOOKUP(A7,GBOC!$E$7:$DG$29,$B$29,0)</f>
        <v>0</v>
      </c>
      <c r="AL7">
        <f>200%-IFERROR(AK7/AJ7,0)</f>
        <v>2</v>
      </c>
      <c r="AM7">
        <f>MAX(AL7,0)</f>
        <v>2</v>
      </c>
      <c r="AN7">
        <f>VLOOKUP(A7,'Giao CT'!$D$6:$S$20,12,0)</f>
        <v>5</v>
      </c>
      <c r="AO7">
        <f>VLOOKUP(A7,GBOC!$E$7:$DG$29,$B$30,0)</f>
        <v>1</v>
      </c>
      <c r="AP7">
        <f>200%-IFERROR(AO7/AN7,0)</f>
        <v>1.8</v>
      </c>
      <c r="AQ7">
        <f>MAX(AP7,0)</f>
        <v>1.8</v>
      </c>
      <c r="AR7">
        <v>0.97</v>
      </c>
      <c r="AS7">
        <f>(VLOOKUP(B7,cuoc!$B$7:$P$27,14,0))*1%</f>
        <v>0.46770000000000006</v>
      </c>
      <c r="AT7">
        <f>IF(AS7&lt;94.5%,0,IF(AS7&lt;95.54%,50%,IF(AS7&lt;AR7,80%,100%+(30%*(AS7-AR7)/3.39%))))</f>
        <v>0</v>
      </c>
      <c r="AU7">
        <f>AR7-AS7</f>
        <v>0.5023</v>
      </c>
      <c r="AV7">
        <f>VLOOKUP(A7,'Giao CT'!$D$6:$S$20,14,0)</f>
        <v>2</v>
      </c>
      <c r="AW7">
        <f>VLOOKUP(A7,GBOC!$E$7:$DG$29,$B$32,0)</f>
        <v>0</v>
      </c>
      <c r="AX7">
        <f>AW7/AV7</f>
        <v>0</v>
      </c>
      <c r="AY7">
        <f>AV7-AW7</f>
        <v>2</v>
      </c>
      <c r="AZ7">
        <f>VLOOKUP(A7,'Giao CT'!$D$6:$S$20,15,0)</f>
        <v>1</v>
      </c>
      <c r="BA7">
        <f>VLOOKUP(A7,GBOC!$E$7:$DG$29,$B$33,0)</f>
        <v>0</v>
      </c>
      <c r="BB7">
        <f>IFERROR(BA7/AZ7,1)</f>
        <v>0</v>
      </c>
      <c r="BC7">
        <f>AZ7-BA7</f>
        <v>1</v>
      </c>
      <c r="BD7">
        <f>VLOOKUP(A7,'Giao CT'!$D$6:$S$20,16,0)</f>
        <v>0</v>
      </c>
      <c r="BE7">
        <f>VLOOKUP(A7,GBOC!$E$7:$DG$29,$B$34,0)</f>
        <v>0</v>
      </c>
      <c r="BF7">
        <f>IFERROR(BE7/BD7,1)</f>
        <v>1</v>
      </c>
      <c r="BG7">
        <f>BD7-BE7</f>
        <v>0</v>
      </c>
    </row>
    <row r="8">
      <c r="A8" t="str">
        <v>CNKD_LDG_TAMDT</v>
      </c>
      <c r="B8" t="str">
        <v>TAMDT_LDG_CNKD</v>
      </c>
      <c r="C8" t="str">
        <v>VIETDQ9_NVKDDB_LDG</v>
      </c>
      <c r="D8">
        <f>VLOOKUP(A8,'Giao CT'!$D$6:$S$20,3,0)</f>
        <v>8</v>
      </c>
      <c r="E8">
        <f>VLOOKUP(A8,GBOC!$E$7:$DG$29,$B$21,0)</f>
        <v>8</v>
      </c>
      <c r="F8">
        <f>IFERROR(E8/D8,0)</f>
        <v>1</v>
      </c>
      <c r="G8">
        <f>D8-E8</f>
        <v>0</v>
      </c>
      <c r="H8">
        <f>VLOOKUP(A8,'Giao CT'!$D$6:$S$20,4,0)</f>
        <v>4</v>
      </c>
      <c r="I8">
        <f>VLOOKUP(A8,GBOC!$E$7:$DG$29,$B$22,0)</f>
        <v>6</v>
      </c>
      <c r="J8">
        <f>IFERROR(I8/H8,0)</f>
        <v>1.5</v>
      </c>
      <c r="K8">
        <f>H8-I8</f>
        <v>-2</v>
      </c>
      <c r="L8">
        <f>VLOOKUP(A8,'Giao CT'!$D$6:$S$20,5,0)</f>
        <v>5</v>
      </c>
      <c r="M8">
        <f>VLOOKUP(A8,GBOC!$E$7:$DG$29,$B$23,0)</f>
        <v>3</v>
      </c>
      <c r="N8">
        <f>IFERROR(M8/L8,0)</f>
        <v>0.6</v>
      </c>
      <c r="O8">
        <f>L8-M8</f>
        <v>2</v>
      </c>
      <c r="P8">
        <f>VLOOKUP(A8,'Giao CT'!$D$6:$S$20,6,0)</f>
        <v>5</v>
      </c>
      <c r="Q8">
        <f>VLOOKUP(A8,GBOC!$E$7:$DG$29,$B$24,0)</f>
        <v>3</v>
      </c>
      <c r="R8">
        <f>IFERROR(Q8/P8,0)</f>
        <v>0.6</v>
      </c>
      <c r="S8">
        <f>P8-Q8</f>
        <v>2</v>
      </c>
      <c r="T8">
        <f>VLOOKUP(A8,'Giao CT'!$D$6:$S$20,7,0)</f>
        <v>4</v>
      </c>
      <c r="U8">
        <f>VLOOKUP(A8,GBOC!$E$7:$DG$29,$B$25,0)</f>
        <v>4</v>
      </c>
      <c r="V8">
        <f>IFERROR(U8/T8,0)</f>
        <v>1</v>
      </c>
      <c r="W8">
        <f>T8-U8</f>
        <v>0</v>
      </c>
      <c r="X8">
        <f>VLOOKUP(A8,'Giao CT'!$D$6:$S$20,8,0)</f>
        <v>1</v>
      </c>
      <c r="Y8">
        <f>VLOOKUP(A8,GBOC!$E$7:$DG$29,$B$26,0)</f>
        <v>1</v>
      </c>
      <c r="Z8">
        <f>IFERROR(Y8/X8,0)</f>
        <v>1</v>
      </c>
      <c r="AA8">
        <f>X8-Y8</f>
        <v>0</v>
      </c>
      <c r="AB8">
        <f>VLOOKUP(A8,'Giao CT'!$D$6:$S$20,9,0)</f>
        <v>30</v>
      </c>
      <c r="AC8">
        <f>VLOOKUP(A8,GBOC!$E$7:$DG$29,$B$27,0)</f>
        <v>58</v>
      </c>
      <c r="AD8">
        <f>IFERROR(AC8/AB8,0)</f>
        <v>1.9333333333333333</v>
      </c>
      <c r="AE8">
        <f>AB8-AC8</f>
        <v>-28</v>
      </c>
      <c r="AF8">
        <f>VLOOKUP(A8,'Giao CT'!$D$6:$S$20,10,0)</f>
        <v>9</v>
      </c>
      <c r="AG8">
        <f>VLOOKUP(A8,GBOC!$E$7:$DG$29,$B$28,0)</f>
        <v>11</v>
      </c>
      <c r="AH8">
        <f>IFERROR(AG8/AF8,0)</f>
        <v>1.2222222222222223</v>
      </c>
      <c r="AI8">
        <f>AF8-AG8</f>
        <v>-2</v>
      </c>
      <c r="AJ8">
        <f>VLOOKUP(A8,'Giao CT'!$D$6:$S$20,11,0)</f>
        <v>4</v>
      </c>
      <c r="AK8">
        <f>VLOOKUP(A8,GBOC!$E$7:$DG$29,$B$29,0)</f>
        <v>0</v>
      </c>
      <c r="AL8">
        <f>200%-IFERROR(AK8/AJ8,0)</f>
        <v>2</v>
      </c>
      <c r="AM8">
        <f>MAX(AL8,0)</f>
        <v>2</v>
      </c>
      <c r="AN8">
        <f>VLOOKUP(A8,'Giao CT'!$D$6:$S$20,12,0)</f>
        <v>5</v>
      </c>
      <c r="AO8">
        <f>VLOOKUP(A8,GBOC!$E$7:$DG$29,$B$30,0)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0.6679</v>
      </c>
      <c r="AT8">
        <f>IF(AS8&lt;94.5%,0,IF(AS8&lt;95.54%,50%,IF(AS8&lt;AR8,80%,100%+(30%*(AS8-AR8)/3.39%))))</f>
        <v>0</v>
      </c>
      <c r="AU8">
        <f>AR8-AS8</f>
        <v>0.3020999999999999</v>
      </c>
      <c r="AV8">
        <f>VLOOKUP(A8,'Giao CT'!$D$6:$S$20,14,0)</f>
        <v>3</v>
      </c>
      <c r="AW8">
        <f>VLOOKUP(A8,GBOC!$E$7:$DG$29,$B$32,0)</f>
        <v>0</v>
      </c>
      <c r="AX8">
        <f>AW8/AV8</f>
        <v>0</v>
      </c>
      <c r="AY8">
        <f>AV8-AW8</f>
        <v>3</v>
      </c>
      <c r="AZ8">
        <f>VLOOKUP(A8,'Giao CT'!$D$6:$S$20,15,0)</f>
        <v>1</v>
      </c>
      <c r="BA8">
        <f>VLOOKUP(A8,GBOC!$E$7:$DG$29,$B$33,0)</f>
        <v>2</v>
      </c>
      <c r="BB8">
        <f>IFERROR(BA8/AZ8,1)</f>
        <v>2</v>
      </c>
      <c r="BC8">
        <f>AZ8-BA8</f>
        <v>-1</v>
      </c>
      <c r="BD8">
        <f>VLOOKUP(A8,'Giao CT'!$D$6:$S$20,16,0)</f>
        <v>0</v>
      </c>
      <c r="BE8">
        <f>VLOOKUP(A8,GBOC!$E$7:$DG$29,$B$34,0)</f>
        <v>2</v>
      </c>
      <c r="BF8">
        <f>IFERROR(BE8/BD8,1)</f>
        <v>1</v>
      </c>
      <c r="BG8">
        <f>BD8-BE8</f>
        <v>-2</v>
      </c>
    </row>
    <row r="10">
      <c r="A10" t="str">
        <v>CNKD_LDG_HANGBT</v>
      </c>
      <c r="B10" t="str">
        <v>HANGBT_LDG_CNKD</v>
      </c>
      <c r="C10" t="str">
        <v>SONTV10_NVKDDB_LDG</v>
      </c>
      <c r="D10">
        <f>VLOOKUP(A10,'Giao CT'!$D$6:$S$20,3,0)</f>
        <v>7</v>
      </c>
      <c r="E10">
        <f>VLOOKUP(A10,GBOC!$E$7:$DG$29,$B$21,0)</f>
        <v>12</v>
      </c>
      <c r="F10">
        <f>IFERROR(E10/D10,0)</f>
        <v>1.7142857142857142</v>
      </c>
      <c r="G10">
        <f>D10-E10</f>
        <v>-5</v>
      </c>
      <c r="H10">
        <f>VLOOKUP(A10,'Giao CT'!$D$6:$S$20,4,0)</f>
        <v>4</v>
      </c>
      <c r="I10">
        <f>VLOOKUP(A10,GBOC!$E$7:$DG$29,$B$22,0)</f>
        <v>4</v>
      </c>
      <c r="J10">
        <f>IFERROR(I10/H10,0)</f>
        <v>1</v>
      </c>
      <c r="K10">
        <f>H10-I10</f>
        <v>0</v>
      </c>
      <c r="L10">
        <f>VLOOKUP(A10,'Giao CT'!$D$6:$S$20,5,0)</f>
        <v>5</v>
      </c>
      <c r="M10">
        <f>VLOOKUP(A10,GBOC!$E$7:$DG$29,$B$23,0)</f>
        <v>5</v>
      </c>
      <c r="N10">
        <f>IFERROR(M10/L10,0)</f>
        <v>1</v>
      </c>
      <c r="O10">
        <f>L10-M10</f>
        <v>0</v>
      </c>
      <c r="P10">
        <f>VLOOKUP(A10,'Giao CT'!$D$6:$S$20,6,0)</f>
        <v>4</v>
      </c>
      <c r="Q10">
        <f>VLOOKUP(A10,GBOC!$E$7:$DG$29,$B$24,0)</f>
        <v>7</v>
      </c>
      <c r="R10">
        <f>IFERROR(Q10/P10,0)</f>
        <v>1.75</v>
      </c>
      <c r="S10">
        <f>P10-Q10</f>
        <v>-3</v>
      </c>
      <c r="T10">
        <f>VLOOKUP(A10,'Giao CT'!$D$6:$S$20,7,0)</f>
        <v>4</v>
      </c>
      <c r="U10">
        <f>VLOOKUP(A10,GBOC!$E$7:$DG$29,$B$25,0)</f>
        <v>4</v>
      </c>
      <c r="V10">
        <f>IFERROR(U10/T10,0)</f>
        <v>1</v>
      </c>
      <c r="W10">
        <f>T10-U10</f>
        <v>0</v>
      </c>
      <c r="X10">
        <f>VLOOKUP(A10,'Giao CT'!$D$6:$S$20,8,0)</f>
        <v>1</v>
      </c>
      <c r="Y10">
        <f>VLOOKUP(A10,GBOC!$E$7:$DG$29,$B$26,0)</f>
        <v>6</v>
      </c>
      <c r="Z10">
        <f>IFERROR(Y10/X10,0)</f>
        <v>6</v>
      </c>
      <c r="AA10">
        <f>X10-Y10</f>
        <v>-5</v>
      </c>
      <c r="AB10">
        <f>VLOOKUP(A10,'Giao CT'!$D$6:$S$20,9,0)</f>
        <v>30</v>
      </c>
      <c r="AC10">
        <f>VLOOKUP(A10,GBOC!$E$7:$DG$29,$B$27,0)</f>
        <v>71</v>
      </c>
      <c r="AD10">
        <f>IFERROR(AC10/AB10,0)</f>
        <v>2.3666666666666667</v>
      </c>
      <c r="AE10">
        <f>AB10-AC10</f>
        <v>-41</v>
      </c>
      <c r="AF10">
        <f>VLOOKUP(A10,'Giao CT'!$D$6:$S$20,10,0)</f>
        <v>8</v>
      </c>
      <c r="AG10">
        <f>VLOOKUP(A10,GBOC!$E$7:$DG$29,$B$28,0)</f>
        <v>10</v>
      </c>
      <c r="AH10">
        <f>IFERROR(AG10/AF10,0)</f>
        <v>1.25</v>
      </c>
      <c r="AI10">
        <f>AF10-AG10</f>
        <v>-2</v>
      </c>
      <c r="AJ10">
        <f>VLOOKUP(A10,'Giao CT'!$D$6:$S$20,11,0)</f>
        <v>4</v>
      </c>
      <c r="AK10">
        <f>VLOOKUP(A10,GBOC!$E$7:$DG$29,$B$29,0)</f>
        <v>0</v>
      </c>
      <c r="AL10">
        <f>200%-IFERROR(AK10/AJ10,0)</f>
        <v>2</v>
      </c>
      <c r="AM10">
        <f>MAX(AL10,0)</f>
        <v>2</v>
      </c>
      <c r="AN10">
        <f>VLOOKUP(A10,'Giao CT'!$D$6:$S$20,12,0)</f>
        <v>5</v>
      </c>
      <c r="AO10">
        <f>VLOOKUP(A10,GBOC!$E$7:$DG$29,$B$30,0)</f>
        <v>2</v>
      </c>
      <c r="AP10">
        <f>200%-IFERROR(AO10/AN10,0)</f>
        <v>1.6</v>
      </c>
      <c r="AQ10">
        <f>MAX(AP10,0)</f>
        <v>1.6</v>
      </c>
      <c r="AR10">
        <v>0.97</v>
      </c>
      <c r="AS10">
        <f>(VLOOKUP(B10,cuoc!$B$7:$P$27,14,0))*1%</f>
        <v>0.6234000000000001</v>
      </c>
      <c r="AT10">
        <f>IF(AS10&lt;94.5%,0,IF(AS10&lt;95.54%,50%,IF(AS10&lt;AR10,80%,100%+(30%*(AS10-AR10)/3.39%))))</f>
        <v>0</v>
      </c>
      <c r="AU10">
        <f>AR10-AS10</f>
        <v>0.3465999999999999</v>
      </c>
      <c r="AV10">
        <f>VLOOKUP(A10,'Giao CT'!$D$6:$S$20,14,0)</f>
        <v>3</v>
      </c>
      <c r="AW10">
        <f>VLOOKUP(A10,GBOC!$E$7:$DG$29,$B$32,0)</f>
        <v>0</v>
      </c>
      <c r="AX10">
        <f>AW10/AV10</f>
        <v>0</v>
      </c>
      <c r="AY10">
        <f>AV10-AW10</f>
        <v>3</v>
      </c>
      <c r="AZ10">
        <f>VLOOKUP(A10,'Giao CT'!$D$6:$S$20,15,0)</f>
        <v>1</v>
      </c>
      <c r="BA10">
        <f>VLOOKUP(A10,GBOC!$E$7:$DG$29,$B$33,0)</f>
        <v>0</v>
      </c>
      <c r="BB10">
        <f>IFERROR(BA10/AZ10,1)</f>
        <v>0</v>
      </c>
      <c r="BC10">
        <f>AZ10-BA10</f>
        <v>1</v>
      </c>
      <c r="BD10">
        <f>VLOOKUP(A10,'Giao CT'!$D$6:$S$20,16,0)</f>
        <v>1</v>
      </c>
      <c r="BE10">
        <f>VLOOKUP(A10,GBOC!$E$7:$DG$29,$B$34,0)</f>
        <v>0</v>
      </c>
      <c r="BF10">
        <f>IFERROR(BE10/BD10,1)</f>
        <v>0</v>
      </c>
      <c r="BG10">
        <f>BD10-BE10</f>
        <v>1</v>
      </c>
    </row>
    <row r="11">
      <c r="A11" t="str">
        <v>CNKD_LDG_HIEUBT</v>
      </c>
      <c r="B11" t="str">
        <v>HIEUBT_LDG_CNKD</v>
      </c>
      <c r="C11" t="str">
        <v>SONTV10_NVKDDB_LDG</v>
      </c>
      <c r="D11">
        <f>VLOOKUP(A11,'Giao CT'!$D$6:$S$20,3,0)</f>
        <v>7</v>
      </c>
      <c r="E11">
        <f>VLOOKUP(A11,GBOC!$E$7:$DG$29,$B$21,0)</f>
        <v>12</v>
      </c>
      <c r="F11">
        <f>IFERROR(E11/D11,0)</f>
        <v>1.7142857142857142</v>
      </c>
      <c r="G11">
        <f>D11-E11</f>
        <v>-5</v>
      </c>
      <c r="H11">
        <f>VLOOKUP(A11,'Giao CT'!$D$6:$S$20,4,0)</f>
        <v>4</v>
      </c>
      <c r="I11">
        <f>VLOOKUP(A11,GBOC!$E$7:$DG$29,$B$22,0)</f>
        <v>4</v>
      </c>
      <c r="J11">
        <f>IFERROR(I11/H11,0)</f>
        <v>1</v>
      </c>
      <c r="K11">
        <f>H11-I11</f>
        <v>0</v>
      </c>
      <c r="L11">
        <f>VLOOKUP(A11,'Giao CT'!$D$6:$S$20,5,0)</f>
        <v>5</v>
      </c>
      <c r="M11">
        <f>VLOOKUP(A11,GBOC!$E$7:$DG$29,$B$23,0)</f>
        <v>5</v>
      </c>
      <c r="N11">
        <f>IFERROR(M11/L11,0)</f>
        <v>1</v>
      </c>
      <c r="O11">
        <f>L11-M11</f>
        <v>0</v>
      </c>
      <c r="P11">
        <f>VLOOKUP(A11,'Giao CT'!$D$6:$S$20,6,0)</f>
        <v>4</v>
      </c>
      <c r="Q11">
        <f>VLOOKUP(A11,GBOC!$E$7:$DG$29,$B$24,0)</f>
        <v>3</v>
      </c>
      <c r="R11">
        <f>IFERROR(Q11/P11,0)</f>
        <v>0.75</v>
      </c>
      <c r="S11">
        <f>P11-Q11</f>
        <v>1</v>
      </c>
      <c r="T11">
        <f>VLOOKUP(A11,'Giao CT'!$D$6:$S$20,7,0)</f>
        <v>3</v>
      </c>
      <c r="U11">
        <f>VLOOKUP(A11,GBOC!$E$7:$DG$29,$B$25,0)</f>
        <v>5</v>
      </c>
      <c r="V11">
        <f>IFERROR(U11/T11,0)</f>
        <v>1.6666666666666667</v>
      </c>
      <c r="W11">
        <f>T11-U11</f>
        <v>-2</v>
      </c>
      <c r="X11">
        <f>VLOOKUP(A11,'Giao CT'!$D$6:$S$20,8,0)</f>
        <v>1</v>
      </c>
      <c r="Y11">
        <f>VLOOKUP(A11,GBOC!$E$7:$DG$29,$B$26,0)</f>
        <v>2</v>
      </c>
      <c r="Z11">
        <f>IFERROR(Y11/X11,0)</f>
        <v>2</v>
      </c>
      <c r="AA11">
        <f>X11-Y11</f>
        <v>-1</v>
      </c>
      <c r="AB11">
        <f>VLOOKUP(A11,'Giao CT'!$D$6:$S$20,9,0)</f>
        <v>30</v>
      </c>
      <c r="AC11">
        <f>VLOOKUP(A11,GBOC!$E$7:$DG$29,$B$27,0)</f>
        <v>27</v>
      </c>
      <c r="AD11">
        <f>IFERROR(AC11/AB11,0)</f>
        <v>0.9</v>
      </c>
      <c r="AE11">
        <f>AB11-AC11</f>
        <v>3</v>
      </c>
      <c r="AF11">
        <f>VLOOKUP(A11,'Giao CT'!$D$6:$S$20,10,0)</f>
        <v>8</v>
      </c>
      <c r="AG11">
        <f>VLOOKUP(A11,GBOC!$E$7:$DG$29,$B$28,0)</f>
        <v>6</v>
      </c>
      <c r="AH11">
        <f>IFERROR(AG11/AF11,0)</f>
        <v>0.75</v>
      </c>
      <c r="AI11">
        <f>AF11-AG11</f>
        <v>2</v>
      </c>
      <c r="AJ11">
        <f>VLOOKUP(A11,'Giao CT'!$D$6:$S$20,11,0)</f>
        <v>4</v>
      </c>
      <c r="AK11">
        <f>VLOOKUP(A11,GBOC!$E$7:$DG$29,$B$29,0)</f>
        <v>0</v>
      </c>
      <c r="AL11">
        <f>200%-IFERROR(AK11/AJ11,0)</f>
        <v>2</v>
      </c>
      <c r="AM11">
        <f>MAX(AL11,0)</f>
        <v>2</v>
      </c>
      <c r="AN11">
        <f>VLOOKUP(A11,'Giao CT'!$D$6:$S$20,12,0)</f>
        <v>5</v>
      </c>
      <c r="AO11">
        <f>VLOOKUP(A11,GBOC!$E$7:$DG$29,$B$30,0)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0.6981</v>
      </c>
      <c r="AT11">
        <f>IF(AS11&lt;94.5%,0,IF(AS11&lt;95.54%,50%,IF(AS11&lt;AR11,80%,100%+(30%*(AS11-AR11)/3.39%))))</f>
        <v>0</v>
      </c>
      <c r="AU11">
        <f>AR11-AS11</f>
        <v>0.2718999999999999</v>
      </c>
      <c r="AV11">
        <f>VLOOKUP(A11,'Giao CT'!$D$6:$S$20,14,0)</f>
        <v>3</v>
      </c>
      <c r="AW11">
        <f>VLOOKUP(A11,GBOC!$E$7:$DG$29,$B$32,0)</f>
        <v>1</v>
      </c>
      <c r="AX11">
        <f>AW11/AV11</f>
        <v>0.3333333333333333</v>
      </c>
      <c r="AY11">
        <f>AV11-AW11</f>
        <v>2</v>
      </c>
      <c r="AZ11">
        <f>VLOOKUP(A11,'Giao CT'!$D$6:$S$20,15,0)</f>
        <v>1</v>
      </c>
      <c r="BA11">
        <f>VLOOKUP(A11,GBOC!$E$7:$DG$29,$B$33,0)</f>
        <v>0</v>
      </c>
      <c r="BB11">
        <f>IFERROR(BA11/AZ11,1)</f>
        <v>0</v>
      </c>
      <c r="BC11">
        <f>AZ11-BA11</f>
        <v>1</v>
      </c>
      <c r="BD11">
        <f>VLOOKUP(A11,'Giao CT'!$D$6:$S$20,16,0)</f>
        <v>0</v>
      </c>
      <c r="BE11">
        <f>VLOOKUP(A11,GBOC!$E$7:$DG$29,$B$34,0)</f>
        <v>0</v>
      </c>
      <c r="BF11">
        <f>IFERROR(BE11/BD11,1)</f>
        <v>1</v>
      </c>
      <c r="BG11">
        <f>BD11-BE11</f>
        <v>0</v>
      </c>
    </row>
    <row r="12">
      <c r="A12" t="str">
        <v>CNKD_LDG_HUNGTV1</v>
      </c>
      <c r="B12" t="str">
        <v>HUNGTV1_LDG_CNKD</v>
      </c>
      <c r="C12" t="str">
        <v>SONTV10_NVKDDB_LDG</v>
      </c>
      <c r="D12">
        <f>VLOOKUP(A12,'Giao CT'!$D$6:$S$20,3,0)</f>
        <v>7</v>
      </c>
      <c r="E12">
        <f>VLOOKUP(A12,GBOC!$E$7:$DG$29,$B$21,0)</f>
        <v>5</v>
      </c>
      <c r="F12">
        <f>IFERROR(E12/D12,0)</f>
        <v>0.7142857142857143</v>
      </c>
      <c r="G12">
        <f>D12-E12</f>
        <v>2</v>
      </c>
      <c r="H12">
        <f>VLOOKUP(A12,'Giao CT'!$D$6:$S$20,4,0)</f>
        <v>3</v>
      </c>
      <c r="I12">
        <f>VLOOKUP(A12,GBOC!$E$7:$DG$29,$B$22,0)</f>
        <v>4</v>
      </c>
      <c r="J12">
        <f>IFERROR(I12/H12,0)</f>
        <v>1.3333333333333333</v>
      </c>
      <c r="K12">
        <f>H12-I12</f>
        <v>-1</v>
      </c>
      <c r="L12">
        <f>VLOOKUP(A12,'Giao CT'!$D$6:$S$20,5,0)</f>
        <v>4</v>
      </c>
      <c r="M12">
        <f>VLOOKUP(A12,GBOC!$E$7:$DG$29,$B$23,0)</f>
        <v>2</v>
      </c>
      <c r="N12">
        <f>IFERROR(M12/L12,0)</f>
        <v>0.5</v>
      </c>
      <c r="O12">
        <f>L12-M12</f>
        <v>2</v>
      </c>
      <c r="P12">
        <f>VLOOKUP(A12,'Giao CT'!$D$6:$S$20,6,0)</f>
        <v>4</v>
      </c>
      <c r="Q12">
        <f>VLOOKUP(A12,GBOC!$E$7:$DG$29,$B$24,0)</f>
        <v>3</v>
      </c>
      <c r="R12">
        <f>IFERROR(Q12/P12,0)</f>
        <v>0.75</v>
      </c>
      <c r="S12">
        <f>P12-Q12</f>
        <v>1</v>
      </c>
      <c r="T12">
        <f>VLOOKUP(A12,'Giao CT'!$D$6:$S$20,7,0)</f>
        <v>3</v>
      </c>
      <c r="U12">
        <f>VLOOKUP(A12,GBOC!$E$7:$DG$29,$B$25,0)</f>
        <v>0</v>
      </c>
      <c r="V12">
        <f>IFERROR(U12/T12,0)</f>
        <v>0</v>
      </c>
      <c r="W12">
        <f>T12-U12</f>
        <v>3</v>
      </c>
      <c r="X12">
        <f>VLOOKUP(A12,'Giao CT'!$D$6:$S$20,8,0)</f>
        <v>1</v>
      </c>
      <c r="Y12">
        <f>VLOOKUP(A12,GBOC!$E$7:$DG$29,$B$26,0)</f>
        <v>0</v>
      </c>
      <c r="Z12">
        <f>IFERROR(Y12/X12,0)</f>
        <v>0</v>
      </c>
      <c r="AA12">
        <f>X12-Y12</f>
        <v>1</v>
      </c>
      <c r="AB12">
        <f>VLOOKUP(A12,'Giao CT'!$D$6:$S$20,9,0)</f>
        <v>30</v>
      </c>
      <c r="AC12">
        <f>VLOOKUP(A12,GBOC!$E$7:$DG$29,$B$27,0)</f>
        <v>9</v>
      </c>
      <c r="AD12">
        <f>IFERROR(AC12/AB12,0)</f>
        <v>0.3</v>
      </c>
      <c r="AE12">
        <f>AB12-AC12</f>
        <v>21</v>
      </c>
      <c r="AF12">
        <f>VLOOKUP(A12,'Giao CT'!$D$6:$S$20,10,0)</f>
        <v>8</v>
      </c>
      <c r="AG12">
        <f>VLOOKUP(A12,GBOC!$E$7:$DG$29,$B$28,0)</f>
        <v>0</v>
      </c>
      <c r="AH12">
        <f>IFERROR(AG12/AF12,0)</f>
        <v>0</v>
      </c>
      <c r="AI12">
        <f>AF12-AG12</f>
        <v>8</v>
      </c>
      <c r="AJ12">
        <f>VLOOKUP(A12,'Giao CT'!$D$6:$S$20,11,0)</f>
        <v>4</v>
      </c>
      <c r="AK12">
        <f>VLOOKUP(A12,GBOC!$E$7:$DG$29,$B$29,0)</f>
        <v>0</v>
      </c>
      <c r="AL12">
        <f>200%-IFERROR(AK12/AJ12,0)</f>
        <v>2</v>
      </c>
      <c r="AM12">
        <f>MAX(AL12,0)</f>
        <v>2</v>
      </c>
      <c r="AN12">
        <f>VLOOKUP(A12,'Giao CT'!$D$6:$S$20,12,0)</f>
        <v>3</v>
      </c>
      <c r="AO12">
        <f>VLOOKUP(A12,GBOC!$E$7:$DG$29,$B$30,0)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0.2741</v>
      </c>
      <c r="AT12">
        <f>IF(AS12&lt;94.5%,0,IF(AS12&lt;95.54%,50%,IF(AS12&lt;AR12,80%,100%+(30%*(AS12-AR12)/3.39%))))</f>
        <v>0</v>
      </c>
      <c r="AU12">
        <f>AR12-AS12</f>
        <v>0.6959</v>
      </c>
      <c r="AV12">
        <f>VLOOKUP(A12,'Giao CT'!$D$6:$S$20,14,0)</f>
        <v>1</v>
      </c>
      <c r="AW12">
        <f>VLOOKUP(A12,GBOC!$E$7:$DG$29,$B$32,0)</f>
        <v>0</v>
      </c>
      <c r="AX12">
        <f>AW12/AV12</f>
        <v>0</v>
      </c>
      <c r="AY12">
        <f>AV12-AW12</f>
        <v>1</v>
      </c>
      <c r="AZ12">
        <f>VLOOKUP(A12,'Giao CT'!$D$6:$S$20,15,0)</f>
        <v>1</v>
      </c>
      <c r="BA12">
        <f>VLOOKUP(A12,GBOC!$E$7:$DG$29,$B$33,0)</f>
        <v>0</v>
      </c>
      <c r="BB12">
        <f>IFERROR(BA12/AZ12,1)</f>
        <v>0</v>
      </c>
      <c r="BC12">
        <f>AZ12-BA12</f>
        <v>1</v>
      </c>
      <c r="BD12">
        <f>VLOOKUP(A12,'Giao CT'!$D$6:$S$20,16,0)</f>
        <v>0</v>
      </c>
      <c r="BE12">
        <f>VLOOKUP(A12,GBOC!$E$7:$DG$29,$B$34,0)</f>
        <v>0</v>
      </c>
      <c r="BF12">
        <f>IFERROR(BE12/BD12,1)</f>
        <v>1</v>
      </c>
      <c r="BG12">
        <f>BD12-BE12</f>
        <v>0</v>
      </c>
    </row>
    <row r="13">
      <c r="A13" t="str">
        <v>CNKD_LDG_HUONGVTT</v>
      </c>
      <c r="B13" t="str">
        <v>HUONGVTT_LDG_CNKD</v>
      </c>
      <c r="C13" t="str">
        <v>SONTV10_NVKDDB_LDG</v>
      </c>
      <c r="D13">
        <f>VLOOKUP(A13,'Giao CT'!$D$6:$S$20,3,0)</f>
        <v>7</v>
      </c>
      <c r="E13">
        <f>VLOOKUP(A13,GBOC!$E$7:$DG$29,$B$21,0)</f>
        <v>5</v>
      </c>
      <c r="F13">
        <f>IFERROR(E13/D13,0)</f>
        <v>0.7142857142857143</v>
      </c>
      <c r="G13">
        <f>D13-E13</f>
        <v>2</v>
      </c>
      <c r="H13">
        <f>VLOOKUP(A13,'Giao CT'!$D$6:$S$20,4,0)</f>
        <v>3</v>
      </c>
      <c r="I13">
        <f>VLOOKUP(A13,GBOC!$E$7:$DG$29,$B$22,0)</f>
        <v>2</v>
      </c>
      <c r="J13">
        <f>IFERROR(I13/H13,0)</f>
        <v>0.6666666666666666</v>
      </c>
      <c r="K13">
        <f>H13-I13</f>
        <v>1</v>
      </c>
      <c r="L13">
        <f>VLOOKUP(A13,'Giao CT'!$D$6:$S$20,5,0)</f>
        <v>4</v>
      </c>
      <c r="M13">
        <f>VLOOKUP(A13,GBOC!$E$7:$DG$29,$B$23,0)</f>
        <v>1</v>
      </c>
      <c r="N13">
        <f>IFERROR(M13/L13,0)</f>
        <v>0.25</v>
      </c>
      <c r="O13">
        <f>L13-M13</f>
        <v>3</v>
      </c>
      <c r="P13">
        <f>VLOOKUP(A13,'Giao CT'!$D$6:$S$20,6,0)</f>
        <v>4</v>
      </c>
      <c r="Q13">
        <f>VLOOKUP(A13,GBOC!$E$7:$DG$29,$B$24,0)</f>
        <v>2</v>
      </c>
      <c r="R13">
        <f>IFERROR(Q13/P13,0)</f>
        <v>0.5</v>
      </c>
      <c r="S13">
        <f>P13-Q13</f>
        <v>2</v>
      </c>
      <c r="T13">
        <f>VLOOKUP(A13,'Giao CT'!$D$6:$S$20,7,0)</f>
        <v>3</v>
      </c>
      <c r="U13">
        <f>VLOOKUP(A13,GBOC!$E$7:$DG$29,$B$25,0)</f>
        <v>3</v>
      </c>
      <c r="V13">
        <f>IFERROR(U13/T13,0)</f>
        <v>1</v>
      </c>
      <c r="W13">
        <f>T13-U13</f>
        <v>0</v>
      </c>
      <c r="X13">
        <f>VLOOKUP(A13,'Giao CT'!$D$6:$S$20,8,0)</f>
        <v>1</v>
      </c>
      <c r="Y13">
        <f>VLOOKUP(A13,GBOC!$E$7:$DG$29,$B$26,0)</f>
        <v>1</v>
      </c>
      <c r="Z13">
        <f>IFERROR(Y13/X13,0)</f>
        <v>1</v>
      </c>
      <c r="AA13">
        <f>X13-Y13</f>
        <v>0</v>
      </c>
      <c r="AB13">
        <f>VLOOKUP(A13,'Giao CT'!$D$6:$S$20,9,0)</f>
        <v>30</v>
      </c>
      <c r="AC13">
        <f>VLOOKUP(A13,GBOC!$E$7:$DG$29,$B$27,0)</f>
        <v>26</v>
      </c>
      <c r="AD13">
        <f>IFERROR(AC13/AB13,0)</f>
        <v>0.8666666666666667</v>
      </c>
      <c r="AE13">
        <f>AB13-AC13</f>
        <v>4</v>
      </c>
      <c r="AF13">
        <f>VLOOKUP(A13,'Giao CT'!$D$6:$S$20,10,0)</f>
        <v>8</v>
      </c>
      <c r="AG13">
        <f>VLOOKUP(A13,GBOC!$E$7:$DG$29,$B$28,0)</f>
        <v>3</v>
      </c>
      <c r="AH13">
        <f>IFERROR(AG13/AF13,0)</f>
        <v>0.375</v>
      </c>
      <c r="AI13">
        <f>AF13-AG13</f>
        <v>5</v>
      </c>
      <c r="AJ13">
        <f>VLOOKUP(A13,'Giao CT'!$D$6:$S$20,11,0)</f>
        <v>4</v>
      </c>
      <c r="AK13">
        <f>VLOOKUP(A13,GBOC!$E$7:$DG$29,$B$29,0)</f>
        <v>0</v>
      </c>
      <c r="AL13">
        <f>200%-IFERROR(AK13/AJ13,0)</f>
        <v>2</v>
      </c>
      <c r="AM13">
        <f>MAX(AL13,0)</f>
        <v>2</v>
      </c>
      <c r="AN13">
        <f>VLOOKUP(A13,'Giao CT'!$D$6:$S$20,12,0)</f>
        <v>4</v>
      </c>
      <c r="AO13">
        <f>VLOOKUP(A13,GBOC!$E$7:$DG$29,$B$30,0)</f>
        <v>0</v>
      </c>
      <c r="AP13">
        <f>200%-IFERROR(AO13/AN13,0)</f>
        <v>2</v>
      </c>
      <c r="AQ13">
        <f>MAX(AP13,0)</f>
        <v>2</v>
      </c>
      <c r="AR13">
        <v>0.97</v>
      </c>
      <c r="AS13">
        <f>(VLOOKUP(B13,cuoc!$B$7:$P$27,14,0))*1%</f>
        <v>0.4648</v>
      </c>
      <c r="AT13">
        <f>IF(AS13&lt;94.5%,0,IF(AS13&lt;95.54%,50%,IF(AS13&lt;AR13,80%,100%+(30%*(AS13-AR13)/3.39%))))</f>
        <v>0</v>
      </c>
      <c r="AU13">
        <f>AR13-AS13</f>
        <v>0.5052</v>
      </c>
      <c r="AV13">
        <f>VLOOKUP(A13,'Giao CT'!$D$6:$S$20,14,0)</f>
        <v>1</v>
      </c>
      <c r="AW13">
        <f>VLOOKUP(A13,GBOC!$E$7:$DG$29,$B$32,0)</f>
        <v>0</v>
      </c>
      <c r="AX13">
        <f>AW13/AV13</f>
        <v>0</v>
      </c>
      <c r="AY13">
        <f>AV13-AW13</f>
        <v>1</v>
      </c>
      <c r="AZ13">
        <f>VLOOKUP(A13,'Giao CT'!$D$6:$S$20,15,0)</f>
        <v>1</v>
      </c>
      <c r="BA13">
        <f>VLOOKUP(A13,GBOC!$E$7:$DG$29,$B$33,0)</f>
        <v>0</v>
      </c>
      <c r="BB13">
        <f>IFERROR(BA13/AZ13,1)</f>
        <v>0</v>
      </c>
      <c r="BC13">
        <f>AZ13-BA13</f>
        <v>1</v>
      </c>
      <c r="BD13">
        <f>VLOOKUP(A13,'Giao CT'!$D$6:$S$20,16,0)</f>
        <v>0</v>
      </c>
      <c r="BE13">
        <f>VLOOKUP(A13,GBOC!$E$7:$DG$29,$B$34,0)</f>
        <v>0</v>
      </c>
      <c r="BF13">
        <f>IFERROR(BE13/BD13,1)</f>
        <v>1</v>
      </c>
      <c r="BG13">
        <f>BD13-BE13</f>
        <v>0</v>
      </c>
    </row>
    <row r="14">
      <c r="A14" t="str">
        <v>CNKD_LDG_PHUONGNTT1</v>
      </c>
      <c r="B14" t="str">
        <v>PHUONGNTT1_LDG_CNKD</v>
      </c>
      <c r="C14" t="str">
        <v>SONTV10_NVKDDB_LDG</v>
      </c>
      <c r="D14">
        <f>VLOOKUP(A14,'Giao CT'!$D$6:$S$20,3,0)</f>
        <v>7</v>
      </c>
      <c r="E14">
        <f>VLOOKUP(A14,GBOC!$E$7:$DG$29,$B$21,0)</f>
        <v>6</v>
      </c>
      <c r="F14">
        <f>IFERROR(E14/D14,0)</f>
        <v>0.8571428571428571</v>
      </c>
      <c r="G14">
        <f>D14-E14</f>
        <v>1</v>
      </c>
      <c r="H14">
        <f>VLOOKUP(A14,'Giao CT'!$D$6:$S$20,4,0)</f>
        <v>4</v>
      </c>
      <c r="I14">
        <f>VLOOKUP(A14,GBOC!$E$7:$DG$29,$B$22,0)</f>
        <v>9</v>
      </c>
      <c r="J14">
        <f>IFERROR(I14/H14,0)</f>
        <v>2.25</v>
      </c>
      <c r="K14">
        <f>H14-I14</f>
        <v>-5</v>
      </c>
      <c r="L14">
        <f>VLOOKUP(A14,'Giao CT'!$D$6:$S$20,5,0)</f>
        <v>5</v>
      </c>
      <c r="M14">
        <f>VLOOKUP(A14,GBOC!$E$7:$DG$29,$B$23,0)</f>
        <v>3</v>
      </c>
      <c r="N14">
        <f>IFERROR(M14/L14,0)</f>
        <v>0.6</v>
      </c>
      <c r="O14">
        <f>L14-M14</f>
        <v>2</v>
      </c>
      <c r="P14">
        <f>VLOOKUP(A14,'Giao CT'!$D$6:$S$20,6,0)</f>
        <v>4</v>
      </c>
      <c r="Q14">
        <f>VLOOKUP(A14,GBOC!$E$7:$DG$29,$B$24,0)</f>
        <v>6</v>
      </c>
      <c r="R14">
        <f>IFERROR(Q14/P14,0)</f>
        <v>1.5</v>
      </c>
      <c r="S14">
        <f>P14-Q14</f>
        <v>-2</v>
      </c>
      <c r="T14">
        <f>VLOOKUP(A14,'Giao CT'!$D$6:$S$20,7,0)</f>
        <v>4</v>
      </c>
      <c r="U14">
        <f>VLOOKUP(A14,GBOC!$E$7:$DG$29,$B$25,0)</f>
        <v>5</v>
      </c>
      <c r="V14">
        <f>IFERROR(U14/T14,0)</f>
        <v>1.25</v>
      </c>
      <c r="W14">
        <f>T14-U14</f>
        <v>-1</v>
      </c>
      <c r="X14">
        <f>VLOOKUP(A14,'Giao CT'!$D$6:$S$20,8,0)</f>
        <v>1</v>
      </c>
      <c r="Y14">
        <f>VLOOKUP(A14,GBOC!$E$7:$DG$29,$B$26,0)</f>
        <v>9</v>
      </c>
      <c r="Z14">
        <f>IFERROR(Y14/X14,0)</f>
        <v>9</v>
      </c>
      <c r="AA14">
        <f>X14-Y14</f>
        <v>-8</v>
      </c>
      <c r="AB14">
        <f>VLOOKUP(A14,'Giao CT'!$D$6:$S$20,9,0)</f>
        <v>30</v>
      </c>
      <c r="AC14">
        <f>VLOOKUP(A14,GBOC!$E$7:$DG$29,$B$27,0)</f>
        <v>54</v>
      </c>
      <c r="AD14">
        <f>IFERROR(AC14/AB14,0)</f>
        <v>1.8</v>
      </c>
      <c r="AE14">
        <f>AB14-AC14</f>
        <v>-24</v>
      </c>
      <c r="AF14">
        <f>VLOOKUP(A14,'Giao CT'!$D$6:$S$20,10,0)</f>
        <v>8</v>
      </c>
      <c r="AG14">
        <f>VLOOKUP(A14,GBOC!$E$7:$DG$29,$B$28,0)</f>
        <v>8</v>
      </c>
      <c r="AH14">
        <f>IFERROR(AG14/AF14,0)</f>
        <v>1</v>
      </c>
      <c r="AI14">
        <f>AF14-AG14</f>
        <v>0</v>
      </c>
      <c r="AJ14">
        <f>VLOOKUP(A14,'Giao CT'!$D$6:$S$20,11,0)</f>
        <v>4</v>
      </c>
      <c r="AK14">
        <f>VLOOKUP(A14,GBOC!$E$7:$DG$29,$B$29,0)</f>
        <v>0</v>
      </c>
      <c r="AL14">
        <f>200%-IFERROR(AK14/AJ14,0)</f>
        <v>2</v>
      </c>
      <c r="AM14">
        <f>MAX(AL14,0)</f>
        <v>2</v>
      </c>
      <c r="AN14">
        <f>VLOOKUP(A14,'Giao CT'!$D$6:$S$20,12,0)</f>
        <v>5</v>
      </c>
      <c r="AO14">
        <f>VLOOKUP(A14,GBOC!$E$7:$DG$29,$B$30,0)</f>
        <v>3</v>
      </c>
      <c r="AP14">
        <f>200%-IFERROR(AO14/AN14,0)</f>
        <v>1.4</v>
      </c>
      <c r="AQ14">
        <f>MAX(AP14,0)</f>
        <v>1.4</v>
      </c>
      <c r="AR14">
        <v>0.97</v>
      </c>
      <c r="AS14">
        <f>(VLOOKUP(B14,cuoc!$B$7:$P$27,14,0))*1%</f>
        <v>0.6944</v>
      </c>
      <c r="AT14">
        <f>IF(AS14&lt;94.5%,0,IF(AS14&lt;95.54%,50%,IF(AS14&lt;AR14,80%,100%+(30%*(AS14-AR14)/3.39%))))</f>
        <v>0</v>
      </c>
      <c r="AU14">
        <f>AR14-AS14</f>
        <v>0.27559999999999996</v>
      </c>
      <c r="AV14">
        <f>VLOOKUP(A14,'Giao CT'!$D$6:$S$20,14,0)</f>
        <v>3</v>
      </c>
      <c r="AW14">
        <f>VLOOKUP(A14,GBOC!$E$7:$DG$29,$B$32,0)</f>
        <v>1</v>
      </c>
      <c r="AX14">
        <f>AW14/AV14</f>
        <v>0.3333333333333333</v>
      </c>
      <c r="AY14">
        <f>AV14-AW14</f>
        <v>2</v>
      </c>
      <c r="AZ14">
        <f>VLOOKUP(A14,'Giao CT'!$D$6:$S$20,15,0)</f>
        <v>1</v>
      </c>
      <c r="BA14">
        <f>VLOOKUP(A14,GBOC!$E$7:$DG$29,$B$33,0)</f>
        <v>0</v>
      </c>
      <c r="BB14">
        <f>IFERROR(BA14/AZ14,1)</f>
        <v>0</v>
      </c>
      <c r="BC14">
        <f>AZ14-BA14</f>
        <v>1</v>
      </c>
      <c r="BD14">
        <f>VLOOKUP(A14,'Giao CT'!$D$6:$S$20,16,0)</f>
        <v>0</v>
      </c>
      <c r="BE14">
        <f>VLOOKUP(A14,GBOC!$E$7:$DG$29,$B$34,0)</f>
        <v>2</v>
      </c>
      <c r="BF14">
        <f>IFERROR(BE14/BD14,1)</f>
        <v>1</v>
      </c>
      <c r="BG14">
        <f>BD14-BE14</f>
        <v>-2</v>
      </c>
    </row>
    <row r="15">
      <c r="A15" t="str">
        <v>CNKD_LDG_SANGTV</v>
      </c>
      <c r="B15" t="str">
        <v>SANGTV_LDG_CNKD</v>
      </c>
      <c r="C15" t="str">
        <v>SONTV10_NVKDDB_LDG</v>
      </c>
      <c r="D15">
        <f>VLOOKUP(A15,'Giao CT'!$D$6:$S$20,3,0)</f>
        <v>7</v>
      </c>
      <c r="E15">
        <f>VLOOKUP(A15,GBOC!$E$7:$DG$29,$B$21,0)</f>
        <v>6</v>
      </c>
      <c r="F15">
        <f>IFERROR(E15/D15,0)</f>
        <v>0.8571428571428571</v>
      </c>
      <c r="G15">
        <f>D15-E15</f>
        <v>1</v>
      </c>
      <c r="H15">
        <f>VLOOKUP(A15,'Giao CT'!$D$6:$S$20,4,0)</f>
        <v>4</v>
      </c>
      <c r="I15">
        <f>VLOOKUP(A15,GBOC!$E$7:$DG$29,$B$22,0)</f>
        <v>5</v>
      </c>
      <c r="J15">
        <f>IFERROR(I15/H15,0)</f>
        <v>1.25</v>
      </c>
      <c r="K15">
        <f>H15-I15</f>
        <v>-1</v>
      </c>
      <c r="L15">
        <f>VLOOKUP(A15,'Giao CT'!$D$6:$S$20,5,0)</f>
        <v>5</v>
      </c>
      <c r="M15">
        <f>VLOOKUP(A15,GBOC!$E$7:$DG$29,$B$23,0)</f>
        <v>2</v>
      </c>
      <c r="N15">
        <f>IFERROR(M15/L15,0)</f>
        <v>0.4</v>
      </c>
      <c r="O15">
        <f>L15-M15</f>
        <v>3</v>
      </c>
      <c r="P15">
        <f>VLOOKUP(A15,'Giao CT'!$D$6:$S$20,6,0)</f>
        <v>4</v>
      </c>
      <c r="Q15">
        <f>VLOOKUP(A15,GBOC!$E$7:$DG$29,$B$24,0)</f>
        <v>2</v>
      </c>
      <c r="R15">
        <f>IFERROR(Q15/P15,0)</f>
        <v>0.5</v>
      </c>
      <c r="S15">
        <f>P15-Q15</f>
        <v>2</v>
      </c>
      <c r="T15">
        <f>VLOOKUP(A15,'Giao CT'!$D$6:$S$20,7,0)</f>
        <v>4</v>
      </c>
      <c r="U15">
        <f>VLOOKUP(A15,GBOC!$E$7:$DG$29,$B$25,0)</f>
        <v>4</v>
      </c>
      <c r="V15">
        <f>IFERROR(U15/T15,0)</f>
        <v>1</v>
      </c>
      <c r="W15">
        <f>T15-U15</f>
        <v>0</v>
      </c>
      <c r="X15">
        <f>VLOOKUP(A15,'Giao CT'!$D$6:$S$20,8,0)</f>
        <v>1</v>
      </c>
      <c r="Y15">
        <f>VLOOKUP(A15,GBOC!$E$7:$DG$29,$B$26,0)</f>
        <v>1</v>
      </c>
      <c r="Z15">
        <f>IFERROR(Y15/X15,0)</f>
        <v>1</v>
      </c>
      <c r="AA15">
        <f>X15-Y15</f>
        <v>0</v>
      </c>
      <c r="AB15">
        <f>VLOOKUP(A15,'Giao CT'!$D$6:$S$20,9,0)</f>
        <v>30</v>
      </c>
      <c r="AC15">
        <f>VLOOKUP(A15,GBOC!$E$7:$DG$29,$B$27,0)</f>
        <v>39</v>
      </c>
      <c r="AD15">
        <f>IFERROR(AC15/AB15,0)</f>
        <v>1.3</v>
      </c>
      <c r="AE15">
        <f>AB15-AC15</f>
        <v>-9</v>
      </c>
      <c r="AF15">
        <f>VLOOKUP(A15,'Giao CT'!$D$6:$S$20,10,0)</f>
        <v>8</v>
      </c>
      <c r="AG15">
        <f>VLOOKUP(A15,GBOC!$E$7:$DG$29,$B$28,0)</f>
        <v>3</v>
      </c>
      <c r="AH15">
        <f>IFERROR(AG15/AF15,0)</f>
        <v>0.375</v>
      </c>
      <c r="AI15">
        <f>AF15-AG15</f>
        <v>5</v>
      </c>
      <c r="AJ15">
        <f>VLOOKUP(A15,'Giao CT'!$D$6:$S$20,11,0)</f>
        <v>4</v>
      </c>
      <c r="AK15">
        <f>VLOOKUP(A15,GBOC!$E$7:$DG$29,$B$29,0)</f>
        <v>0</v>
      </c>
      <c r="AL15">
        <f>200%-IFERROR(AK15/AJ15,0)</f>
        <v>2</v>
      </c>
      <c r="AM15">
        <f>MAX(AL15,0)</f>
        <v>2</v>
      </c>
      <c r="AN15">
        <f>VLOOKUP(A15,'Giao CT'!$D$6:$S$20,12,0)</f>
        <v>4</v>
      </c>
      <c r="AO15">
        <f>VLOOKUP(A15,GBOC!$E$7:$DG$29,$B$30,0)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0.5810000000000001</v>
      </c>
      <c r="AT15">
        <f>IF(AS15&lt;94.5%,0,IF(AS15&lt;95.54%,50%,IF(AS15&lt;AR15,80%,100%+(30%*(AS15-AR15)/3.39%))))</f>
        <v>0</v>
      </c>
      <c r="AU15">
        <f>AR15-AS15</f>
        <v>0.3889999999999999</v>
      </c>
      <c r="AV15">
        <f>VLOOKUP(A15,'Giao CT'!$D$6:$S$20,14,0)</f>
        <v>2</v>
      </c>
      <c r="AW15">
        <f>VLOOKUP(A15,GBOC!$E$7:$DG$29,$B$32,0)</f>
        <v>0</v>
      </c>
      <c r="AX15">
        <f>AW15/AV15</f>
        <v>0</v>
      </c>
      <c r="AY15">
        <f>AV15-AW15</f>
        <v>2</v>
      </c>
      <c r="AZ15">
        <f>VLOOKUP(A15,'Giao CT'!$D$6:$S$20,15,0)</f>
        <v>1</v>
      </c>
      <c r="BA15">
        <f>VLOOKUP(A15,GBOC!$E$7:$DG$29,$B$33,0)</f>
        <v>0</v>
      </c>
      <c r="BB15">
        <f>IFERROR(BA15/AZ15,1)</f>
        <v>0</v>
      </c>
      <c r="BC15">
        <f>AZ15-BA15</f>
        <v>1</v>
      </c>
      <c r="BD15">
        <f>VLOOKUP(A15,'Giao CT'!$D$6:$S$20,16,0)</f>
        <v>0</v>
      </c>
      <c r="BE15">
        <f>VLOOKUP(A15,GBOC!$E$7:$DG$29,$B$34,0)</f>
        <v>0</v>
      </c>
      <c r="BF15">
        <f>IFERROR(BE15/BD15,1)</f>
        <v>1</v>
      </c>
      <c r="BG15">
        <f>BD15-BE15</f>
        <v>0</v>
      </c>
    </row>
    <row r="16">
      <c r="A16" t="str">
        <v>CNKD_LDG_THUONGNTH</v>
      </c>
      <c r="B16" t="str">
        <v>THUONGNTH_LDG_CNKD</v>
      </c>
      <c r="C16" t="str">
        <v>SONTV10_NVKDDB_LDG</v>
      </c>
      <c r="D16">
        <f>VLOOKUP(A16,'Giao CT'!$D$6:$S$20,3,0)</f>
        <v>7</v>
      </c>
      <c r="E16">
        <f>VLOOKUP(A16,GBOC!$E$7:$DG$29,$B$21,0)</f>
        <v>11</v>
      </c>
      <c r="F16">
        <f>IFERROR(E16/D16,0)</f>
        <v>1.5714285714285714</v>
      </c>
      <c r="G16">
        <f>D16-E16</f>
        <v>-4</v>
      </c>
      <c r="H16">
        <f>VLOOKUP(A16,'Giao CT'!$D$6:$S$20,4,0)</f>
        <v>4</v>
      </c>
      <c r="I16">
        <f>VLOOKUP(A16,GBOC!$E$7:$DG$29,$B$22,0)</f>
        <v>5</v>
      </c>
      <c r="J16">
        <f>IFERROR(I16/H16,0)</f>
        <v>1.25</v>
      </c>
      <c r="K16">
        <f>H16-I16</f>
        <v>-1</v>
      </c>
      <c r="L16">
        <f>VLOOKUP(A16,'Giao CT'!$D$6:$S$20,5,0)</f>
        <v>5</v>
      </c>
      <c r="M16">
        <f>VLOOKUP(A16,GBOC!$E$7:$DG$29,$B$23,0)</f>
        <v>4</v>
      </c>
      <c r="N16">
        <f>IFERROR(M16/L16,0)</f>
        <v>0.8</v>
      </c>
      <c r="O16">
        <f>L16-M16</f>
        <v>1</v>
      </c>
      <c r="P16">
        <f>VLOOKUP(A16,'Giao CT'!$D$6:$S$20,6,0)</f>
        <v>4</v>
      </c>
      <c r="Q16">
        <f>VLOOKUP(A16,GBOC!$E$7:$DG$29,$B$24,0)</f>
        <v>5</v>
      </c>
      <c r="R16">
        <f>IFERROR(Q16/P16,0)</f>
        <v>1.25</v>
      </c>
      <c r="S16">
        <f>P16-Q16</f>
        <v>-1</v>
      </c>
      <c r="T16">
        <f>VLOOKUP(A16,'Giao CT'!$D$6:$S$20,7,0)</f>
        <v>4</v>
      </c>
      <c r="U16">
        <f>VLOOKUP(A16,GBOC!$E$7:$DG$29,$B$25,0)</f>
        <v>7</v>
      </c>
      <c r="V16">
        <f>IFERROR(U16/T16,0)</f>
        <v>1.75</v>
      </c>
      <c r="W16">
        <f>T16-U16</f>
        <v>-3</v>
      </c>
      <c r="X16">
        <f>VLOOKUP(A16,'Giao CT'!$D$6:$S$20,8,0)</f>
        <v>1</v>
      </c>
      <c r="Y16">
        <f>VLOOKUP(A16,GBOC!$E$7:$DG$29,$B$26,0)</f>
        <v>20</v>
      </c>
      <c r="Z16">
        <f>IFERROR(Y16/X16,0)</f>
        <v>20</v>
      </c>
      <c r="AA16">
        <f>X16-Y16</f>
        <v>-19</v>
      </c>
      <c r="AB16">
        <f>VLOOKUP(A16,'Giao CT'!$D$6:$S$20,9,0)</f>
        <v>60</v>
      </c>
      <c r="AC16">
        <f>VLOOKUP(A16,GBOC!$E$7:$DG$29,$B$27,0)</f>
        <v>170</v>
      </c>
      <c r="AD16">
        <f>IFERROR(AC16/AB16,0)</f>
        <v>2.8333333333333335</v>
      </c>
      <c r="AE16">
        <f>AB16-AC16</f>
        <v>-110</v>
      </c>
      <c r="AF16">
        <f>VLOOKUP(A16,'Giao CT'!$D$6:$S$20,10,0)</f>
        <v>8</v>
      </c>
      <c r="AG16">
        <f>VLOOKUP(A16,GBOC!$E$7:$DG$29,$B$28,0)</f>
        <v>21</v>
      </c>
      <c r="AH16">
        <f>IFERROR(AG16/AF16,0)</f>
        <v>2.625</v>
      </c>
      <c r="AI16">
        <f>AF16-AG16</f>
        <v>-13</v>
      </c>
      <c r="AJ16">
        <f>VLOOKUP(A16,'Giao CT'!$D$6:$S$20,11,0)</f>
        <v>4</v>
      </c>
      <c r="AK16">
        <f>VLOOKUP(A16,GBOC!$E$7:$DG$29,$B$29,0)</f>
        <v>0</v>
      </c>
      <c r="AL16">
        <f>200%-IFERROR(AK16/AJ16,0)</f>
        <v>2</v>
      </c>
      <c r="AM16">
        <f>MAX(AL16,0)</f>
        <v>2</v>
      </c>
      <c r="AN16">
        <f>VLOOKUP(A16,'Giao CT'!$D$6:$S$20,12,0)</f>
        <v>5</v>
      </c>
      <c r="AO16">
        <f>VLOOKUP(A16,GBOC!$E$7:$DG$29,$B$30,0)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0.7053</v>
      </c>
      <c r="AT16">
        <f>IF(AS16&lt;94.5%,0,IF(AS16&lt;95.54%,50%,IF(AS16&lt;AR16,80%,100%+(30%*(AS16-AR16)/3.39%))))</f>
        <v>0</v>
      </c>
      <c r="AU16">
        <f>AR16-AS16</f>
        <v>0.26469999999999994</v>
      </c>
      <c r="AV16">
        <f>VLOOKUP(A16,'Giao CT'!$D$6:$S$20,14,0)</f>
        <v>3</v>
      </c>
      <c r="AW16">
        <f>VLOOKUP(A16,GBOC!$E$7:$DG$29,$B$32,0)</f>
        <v>0</v>
      </c>
      <c r="AX16">
        <f>AW16/AV16</f>
        <v>0</v>
      </c>
      <c r="AY16">
        <f>AV16-AW16</f>
        <v>3</v>
      </c>
      <c r="AZ16">
        <f>VLOOKUP(A16,'Giao CT'!$D$6:$S$20,15,0)</f>
        <v>1</v>
      </c>
      <c r="BA16">
        <f>VLOOKUP(A16,GBOC!$E$7:$DG$29,$B$33,0)</f>
        <v>1</v>
      </c>
      <c r="BB16">
        <f>IFERROR(BA16/AZ16,1)</f>
        <v>1</v>
      </c>
      <c r="BC16">
        <f>AZ16-BA16</f>
        <v>0</v>
      </c>
      <c r="BD16">
        <f>VLOOKUP(A16,'Giao CT'!$D$6:$S$20,16,0)</f>
        <v>0</v>
      </c>
      <c r="BE16">
        <f>VLOOKUP(A16,GBOC!$E$7:$DG$29,$B$34,0)</f>
        <v>2</v>
      </c>
      <c r="BF16">
        <f>IFERROR(BE16/BD16,1)</f>
        <v>1</v>
      </c>
      <c r="BG16">
        <f>BD16-BE16</f>
        <v>-2</v>
      </c>
    </row>
    <row r="18">
      <c r="B18" t="str">
        <v>Tổng cước</v>
      </c>
      <c r="C18" t="str">
        <v>Đã Thu</v>
      </c>
    </row>
    <row r="19">
      <c r="A19" t="str">
        <v>VIETDQ9_NVKDDB_LDG</v>
      </c>
      <c r="B19">
        <f>SUMIF(cuoc!A7:P27,'tiến độ'!A19,cuoc!I7:I27)</f>
        <v>643774867</v>
      </c>
      <c r="C19">
        <f>SUMIF(cuoc!A7:P27,'tiến độ'!A19,cuoc!M7:M27)</f>
        <v>384127271</v>
      </c>
      <c r="D19">
        <f>B19*0.968-C19</f>
        <v>239046800.25599992</v>
      </c>
    </row>
    <row r="20">
      <c r="A20" t="str">
        <v>SONTV10_NVKDDB_LDG</v>
      </c>
      <c r="B20">
        <f>SUMIF(cuoc!A8:P27,'tiến độ'!A20,cuoc!I8:I27)</f>
        <v>975190007</v>
      </c>
      <c r="C20">
        <f>SUMIF(cuoc!A8:P27,'tiến độ'!A20,cuoc!M8:M27)</f>
        <v>624326524</v>
      </c>
      <c r="D20">
        <f>B20*0.968-C20</f>
        <v>319657402.776</v>
      </c>
    </row>
    <row r="21">
      <c r="A21" t="str">
        <v>TB FTTH phát triển mới</v>
      </c>
      <c r="B21" t="str">
        <v>7</v>
      </c>
      <c r="C21">
        <f>B21-2</f>
        <v>5</v>
      </c>
    </row>
    <row r="22">
      <c r="A22" t="str">
        <v>Supernet PTM</v>
      </c>
      <c r="B22">
        <v>15</v>
      </c>
      <c r="C22">
        <f>B22-2</f>
        <v>13</v>
      </c>
    </row>
    <row r="23">
      <c r="A23" t="str">
        <v>Camera Đấu nối và bán đứt mua icloud</v>
      </c>
      <c r="B23">
        <v>55</v>
      </c>
      <c r="C23">
        <f>B23-2</f>
        <v>53</v>
      </c>
      <c r="Q23">
        <f>13/18</f>
        <v>0.7222222222222222</v>
      </c>
    </row>
    <row r="24">
      <c r="A24" t="str">
        <v>THS Đôi dây PTM</v>
      </c>
      <c r="B24">
        <v>87</v>
      </c>
      <c r="C24">
        <f>B24-2</f>
        <v>85</v>
      </c>
    </row>
    <row r="25">
      <c r="A25" t="str">
        <v>Thuê Bao trả sau</v>
      </c>
      <c r="B25">
        <v>95</v>
      </c>
      <c r="C25">
        <f>B25-2</f>
        <v>93</v>
      </c>
    </row>
    <row r="26">
      <c r="A26" t="str">
        <v>Thuê bao thực 4G</v>
      </c>
      <c r="B26">
        <v>103</v>
      </c>
      <c r="C26">
        <f>B26-2</f>
        <v>101</v>
      </c>
    </row>
    <row r="27">
      <c r="A27" t="str">
        <v>Thuê bao  5G</v>
      </c>
      <c r="B27">
        <v>47</v>
      </c>
      <c r="C27">
        <f>B27-2</f>
        <v>45</v>
      </c>
    </row>
    <row r="28">
      <c r="A28" t="str">
        <v>Thuê bao standard</v>
      </c>
      <c r="B28">
        <v>79</v>
      </c>
      <c r="C28">
        <f>B28-2</f>
        <v>77</v>
      </c>
    </row>
    <row r="29">
      <c r="A29" t="str">
        <v>Rời mạng THS</v>
      </c>
      <c r="B29">
        <v>39</v>
      </c>
      <c r="C29">
        <f>B29-2</f>
        <v>37</v>
      </c>
    </row>
    <row r="30">
      <c r="A30" t="str">
        <v>Rời mạng FTTH</v>
      </c>
      <c r="B30">
        <v>31</v>
      </c>
      <c r="C30">
        <f>B30-2</f>
        <v>29</v>
      </c>
    </row>
    <row r="31">
      <c r="A31" t="str">
        <v>Cước N1- N3</v>
      </c>
    </row>
    <row r="32">
      <c r="A32" t="str">
        <v>Khôi phục THS</v>
      </c>
      <c r="B32">
        <v>23</v>
      </c>
      <c r="C32">
        <f>B32-2</f>
        <v>21</v>
      </c>
    </row>
    <row r="33">
      <c r="A33" t="str">
        <v>Thuê Bao mybox</v>
      </c>
      <c r="B33">
        <v>71</v>
      </c>
      <c r="C33">
        <f>B33-2</f>
        <v>69</v>
      </c>
    </row>
    <row r="34">
      <c r="A34" t="str">
        <v>MYKID</v>
      </c>
      <c r="B34">
        <v>63</v>
      </c>
      <c r="C34">
        <f>B34-2</f>
        <v>61</v>
      </c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ageMargins left="0.6999125161508876" right="0.6999125161508876" top="0.7499062639521802" bottom="0.7499062639521802" header="0.2999625102741512" footer="0.2999625102741512"/>
  <ignoredErrors>
    <ignoredError numberStoredAsText="1" sqref="A1:BG3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G29"/>
  <sheetViews>
    <sheetView workbookViewId="0" rightToLeft="0"/>
  </sheetViews>
  <sheetData>
    <row r="1">
      <c r="A1" t="str">
        <v>TẬP ĐOÀN CÔNG NGHIỆP - VIỄN THÔNG QUÂN ĐỘI</v>
      </c>
    </row>
    <row r="2">
      <c r="A2" t="str">
        <v>TỔNG CÔNG TY VIỄN THÔNG VIETTEL</v>
      </c>
    </row>
    <row r="3">
      <c r="A3" t="str">
        <v>BÁO CÁO KẾT QUẢ THỰC HIỆN CHỈ TIÊU THEO HỘ KINH DOANH TOÀN QUỐC</v>
      </c>
    </row>
    <row r="4">
      <c r="D4" t="str">
        <v xml:space="preserve">Ngày báo cáo: </v>
      </c>
      <c r="E4">
        <v>1</v>
      </c>
      <c r="F4">
        <v>2</v>
      </c>
      <c r="G4">
        <v>3</v>
      </c>
      <c r="H4">
        <v>4</v>
      </c>
      <c r="I4">
        <v>5</v>
      </c>
      <c r="J4">
        <v>6</v>
      </c>
      <c r="K4">
        <v>7</v>
      </c>
      <c r="L4">
        <v>8</v>
      </c>
      <c r="M4">
        <v>9</v>
      </c>
      <c r="N4">
        <v>10</v>
      </c>
      <c r="O4">
        <v>11</v>
      </c>
      <c r="P4">
        <v>12</v>
      </c>
      <c r="Q4">
        <v>13</v>
      </c>
      <c r="R4">
        <v>14</v>
      </c>
      <c r="S4">
        <v>15</v>
      </c>
      <c r="T4">
        <v>16</v>
      </c>
      <c r="U4">
        <v>17</v>
      </c>
      <c r="V4">
        <v>18</v>
      </c>
      <c r="W4">
        <v>19</v>
      </c>
      <c r="X4">
        <v>20</v>
      </c>
      <c r="Y4">
        <v>21</v>
      </c>
      <c r="Z4">
        <v>22</v>
      </c>
      <c r="AA4">
        <v>23</v>
      </c>
      <c r="AB4">
        <v>24</v>
      </c>
      <c r="AC4">
        <v>25</v>
      </c>
      <c r="AD4">
        <v>26</v>
      </c>
      <c r="AE4">
        <v>27</v>
      </c>
      <c r="AF4">
        <v>28</v>
      </c>
      <c r="AG4">
        <v>29</v>
      </c>
      <c r="AH4">
        <v>30</v>
      </c>
      <c r="AI4">
        <v>31</v>
      </c>
      <c r="AJ4">
        <v>32</v>
      </c>
      <c r="AK4">
        <v>33</v>
      </c>
      <c r="AL4">
        <v>34</v>
      </c>
      <c r="AM4">
        <v>35</v>
      </c>
      <c r="AN4">
        <v>36</v>
      </c>
      <c r="AO4">
        <v>37</v>
      </c>
      <c r="AP4">
        <v>38</v>
      </c>
      <c r="AQ4">
        <v>39</v>
      </c>
      <c r="AR4">
        <v>40</v>
      </c>
      <c r="AS4">
        <v>41</v>
      </c>
      <c r="AT4">
        <v>42</v>
      </c>
      <c r="AU4">
        <v>43</v>
      </c>
      <c r="AV4">
        <v>44</v>
      </c>
      <c r="AW4">
        <v>45</v>
      </c>
      <c r="AX4">
        <v>46</v>
      </c>
      <c r="AY4">
        <v>47</v>
      </c>
      <c r="AZ4">
        <v>48</v>
      </c>
      <c r="BA4">
        <v>49</v>
      </c>
      <c r="BB4">
        <v>50</v>
      </c>
      <c r="BC4">
        <v>51</v>
      </c>
      <c r="BD4">
        <v>52</v>
      </c>
      <c r="BE4">
        <v>53</v>
      </c>
      <c r="BF4">
        <v>54</v>
      </c>
      <c r="BG4">
        <v>55</v>
      </c>
      <c r="BH4">
        <v>56</v>
      </c>
      <c r="BI4">
        <v>57</v>
      </c>
      <c r="BJ4">
        <v>58</v>
      </c>
      <c r="BK4">
        <v>59</v>
      </c>
      <c r="BL4">
        <v>60</v>
      </c>
      <c r="BM4">
        <v>61</v>
      </c>
      <c r="BN4">
        <v>62</v>
      </c>
      <c r="BO4">
        <v>63</v>
      </c>
      <c r="BP4">
        <v>64</v>
      </c>
      <c r="BQ4">
        <v>65</v>
      </c>
      <c r="BR4">
        <v>66</v>
      </c>
      <c r="BS4">
        <v>67</v>
      </c>
      <c r="BT4">
        <v>68</v>
      </c>
      <c r="BU4">
        <v>69</v>
      </c>
      <c r="BV4">
        <v>70</v>
      </c>
      <c r="BW4">
        <v>71</v>
      </c>
      <c r="BX4">
        <v>72</v>
      </c>
      <c r="BY4">
        <v>73</v>
      </c>
      <c r="BZ4">
        <v>74</v>
      </c>
      <c r="CA4">
        <v>75</v>
      </c>
      <c r="CB4">
        <v>76</v>
      </c>
      <c r="CC4">
        <v>77</v>
      </c>
      <c r="CD4">
        <v>78</v>
      </c>
      <c r="CE4">
        <v>79</v>
      </c>
      <c r="CF4">
        <v>80</v>
      </c>
      <c r="CG4">
        <v>81</v>
      </c>
      <c r="CH4">
        <v>82</v>
      </c>
      <c r="CI4">
        <v>83</v>
      </c>
      <c r="CJ4">
        <v>84</v>
      </c>
      <c r="CK4">
        <v>85</v>
      </c>
      <c r="CL4">
        <v>86</v>
      </c>
      <c r="CM4">
        <v>87</v>
      </c>
      <c r="CN4">
        <v>88</v>
      </c>
      <c r="CO4">
        <v>89</v>
      </c>
      <c r="CP4">
        <v>90</v>
      </c>
      <c r="CQ4">
        <v>91</v>
      </c>
      <c r="CR4">
        <v>92</v>
      </c>
      <c r="CS4">
        <v>93</v>
      </c>
      <c r="CT4">
        <v>94</v>
      </c>
      <c r="CU4">
        <v>95</v>
      </c>
      <c r="CV4">
        <v>96</v>
      </c>
      <c r="CW4">
        <v>97</v>
      </c>
      <c r="CX4">
        <v>98</v>
      </c>
      <c r="CY4">
        <v>99</v>
      </c>
      <c r="CZ4">
        <v>100</v>
      </c>
      <c r="DA4">
        <v>101</v>
      </c>
      <c r="DB4">
        <v>102</v>
      </c>
      <c r="DC4">
        <v>103</v>
      </c>
      <c r="DD4">
        <v>104</v>
      </c>
      <c r="DE4">
        <v>105</v>
      </c>
      <c r="DF4">
        <v>106</v>
      </c>
      <c r="DG4">
        <v>107</v>
      </c>
    </row>
    <row r="5">
      <c r="H5" t="str">
        <v>FTTH_PTM - TB FTTH phát triển mới</v>
      </c>
      <c r="P5" t="str">
        <v>FTTH_PTM_SUPERNET - Thuê bao FTTH Mesh Wifi</v>
      </c>
      <c r="X5" t="str">
        <v>KP_TH - Khôi phục thuê bao Truyền hình</v>
      </c>
      <c r="AF5" t="str">
        <v>RM_FTTH_ALL - Thuê bao FTTH rời mạng</v>
      </c>
      <c r="AN5" t="str">
        <v>RM_TH - Thuê bao rời mạng truyền hình</v>
      </c>
      <c r="AV5" t="str">
        <v>SLCK_MUAGOI_5G - Số lượng chu kỳ gói 5G</v>
      </c>
      <c r="BD5" t="str">
        <v>SL_HOME_CAMERA_FTTH - Tổng sản lượng Camera (kèm FTTH + bán lẻ)</v>
      </c>
      <c r="BL5" t="str">
        <v>SL_TBDC_MYKID - Sản lượng bán đồng hồ Mykid</v>
      </c>
      <c r="BT5" t="str">
        <v>TB_MYBOX - TB MyBox có tính phí</v>
      </c>
      <c r="CB5" t="str">
        <v>TB_TV360_MHN_PTM - Thuê bao TV360 MHN phát triển mới</v>
      </c>
      <c r="CJ5" t="str">
        <v>TH_DOIDAY_OTT_PTM - Thuê bao truyền hình MHL phát triển mới trên đôi dây FTTH</v>
      </c>
      <c r="CR5" t="str">
        <v>TS_PTM - TB trả sau phát triển mới</v>
      </c>
      <c r="CZ5" t="str">
        <v>TT_THUC_30D_4G - Thuê bao đạt 4G từ KHM 30 ngày</v>
      </c>
    </row>
    <row r="6">
      <c r="A6" t="str">
        <v>Mã tỉnh</v>
      </c>
      <c r="B6" t="str">
        <v>Mã cụm xã</v>
      </c>
      <c r="C6" t="str">
        <v>Tên cụm xã</v>
      </c>
      <c r="D6" t="str">
        <v>Mã xã</v>
      </c>
      <c r="E6" t="str">
        <v>User HKD</v>
      </c>
      <c r="F6" t="str">
        <v>Tên HKD</v>
      </c>
      <c r="G6" t="str">
        <v>User Nhân viên quản lý</v>
      </c>
      <c r="H6" t="str">
        <v>KH đến ngày</v>
      </c>
      <c r="I6" t="str">
        <v>KH Tháng</v>
      </c>
      <c r="J6" t="str">
        <v>TH Ngày</v>
      </c>
      <c r="K6" t="str">
        <v>TH Lũy kế</v>
      </c>
      <c r="L6" t="str">
        <v>% HT ngày</v>
      </c>
      <c r="M6" t="str">
        <v>% HT KH tháng</v>
      </c>
      <c r="N6" t="str">
        <v>TH Cùng kỳ tháng</v>
      </c>
      <c r="O6" t="str">
        <v>% Tăng trưởng</v>
      </c>
      <c r="P6" t="str">
        <v>KH đến ngày</v>
      </c>
      <c r="Q6" t="str">
        <v>KH Tháng</v>
      </c>
      <c r="R6" t="str">
        <v>TH Ngày</v>
      </c>
      <c r="S6" t="str">
        <v>TH Lũy kế</v>
      </c>
      <c r="T6" t="str">
        <v>% HT ngày</v>
      </c>
      <c r="U6" t="str">
        <v>% HT KH tháng</v>
      </c>
      <c r="V6" t="str">
        <v>TH Cùng kỳ tháng</v>
      </c>
      <c r="W6" t="str">
        <v>% Tăng trưởng</v>
      </c>
      <c r="X6" t="str">
        <v>KH đến ngày</v>
      </c>
      <c r="Y6" t="str">
        <v>KH Tháng</v>
      </c>
      <c r="Z6" t="str">
        <v>TH Ngày</v>
      </c>
      <c r="AA6" t="str">
        <v>TH Lũy kế</v>
      </c>
      <c r="AB6" t="str">
        <v>% HT ngày</v>
      </c>
      <c r="AC6" t="str">
        <v>% HT KH tháng</v>
      </c>
      <c r="AD6" t="str">
        <v>TH Cùng kỳ tháng</v>
      </c>
      <c r="AE6" t="str">
        <v>% Tăng trưởng</v>
      </c>
      <c r="AF6" t="str">
        <v>KH đến ngày</v>
      </c>
      <c r="AG6" t="str">
        <v>KH Tháng</v>
      </c>
      <c r="AH6" t="str">
        <v>TH Ngày</v>
      </c>
      <c r="AI6" t="str">
        <v>TH Lũy kế</v>
      </c>
      <c r="AJ6" t="str">
        <v>% HT ngày</v>
      </c>
      <c r="AK6" t="str">
        <v>% HT KH tháng</v>
      </c>
      <c r="AL6" t="str">
        <v>TH Cùng kỳ tháng</v>
      </c>
      <c r="AM6" t="str">
        <v>% Tăng trưởng</v>
      </c>
      <c r="AN6" t="str">
        <v>KH đến ngày</v>
      </c>
      <c r="AO6" t="str">
        <v>KH Tháng</v>
      </c>
      <c r="AP6" t="str">
        <v>TH Ngày</v>
      </c>
      <c r="AQ6" t="str">
        <v>TH Lũy kế</v>
      </c>
      <c r="AR6" t="str">
        <v>% HT ngày</v>
      </c>
      <c r="AS6" t="str">
        <v>% HT KH tháng</v>
      </c>
      <c r="AT6" t="str">
        <v>TH Cùng kỳ tháng</v>
      </c>
      <c r="AU6" t="str">
        <v>% Tăng trưởng</v>
      </c>
      <c r="AV6" t="str">
        <v>KH đến ngày</v>
      </c>
      <c r="AW6" t="str">
        <v>KH Tháng</v>
      </c>
      <c r="AX6" t="str">
        <v>TH Ngày</v>
      </c>
      <c r="AY6" t="str">
        <v>TH Lũy kế</v>
      </c>
      <c r="AZ6" t="str">
        <v>% HT ngày</v>
      </c>
      <c r="BA6" t="str">
        <v>% HT KH tháng</v>
      </c>
      <c r="BB6" t="str">
        <v>TH Cùng kỳ tháng</v>
      </c>
      <c r="BC6" t="str">
        <v>% Tăng trưởng</v>
      </c>
      <c r="BD6" t="str">
        <v>KH đến ngày</v>
      </c>
      <c r="BE6" t="str">
        <v>KH Tháng</v>
      </c>
      <c r="BF6" t="str">
        <v>TH Ngày</v>
      </c>
      <c r="BG6" t="str">
        <v>TH Lũy kế</v>
      </c>
      <c r="BH6" t="str">
        <v>% HT ngày</v>
      </c>
      <c r="BI6" t="str">
        <v>% HT KH tháng</v>
      </c>
      <c r="BJ6" t="str">
        <v>TH Cùng kỳ tháng</v>
      </c>
      <c r="BK6" t="str">
        <v>% Tăng trưởng</v>
      </c>
      <c r="BL6" t="str">
        <v>KH đến ngày</v>
      </c>
      <c r="BM6" t="str">
        <v>KH Tháng</v>
      </c>
      <c r="BN6" t="str">
        <v>TH Ngày</v>
      </c>
      <c r="BO6" t="str">
        <v>TH Lũy kế</v>
      </c>
      <c r="BP6" t="str">
        <v>% HT ngày</v>
      </c>
      <c r="BQ6" t="str">
        <v>% HT KH tháng</v>
      </c>
      <c r="BR6" t="str">
        <v>TH Cùng kỳ tháng</v>
      </c>
      <c r="BS6" t="str">
        <v>% Tăng trưởng</v>
      </c>
      <c r="BT6" t="str">
        <v>KH đến ngày</v>
      </c>
      <c r="BU6" t="str">
        <v>KH Tháng</v>
      </c>
      <c r="BV6" t="str">
        <v>TH Ngày</v>
      </c>
      <c r="BW6" t="str">
        <v>TH Lũy kế</v>
      </c>
      <c r="BX6" t="str">
        <v>% HT ngày</v>
      </c>
      <c r="BY6" t="str">
        <v>% HT KH tháng</v>
      </c>
      <c r="BZ6" t="str">
        <v>TH Cùng kỳ tháng</v>
      </c>
      <c r="CA6" t="str">
        <v>% Tăng trưởng</v>
      </c>
      <c r="CB6" t="str">
        <v>KH đến ngày</v>
      </c>
      <c r="CC6" t="str">
        <v>KH Tháng</v>
      </c>
      <c r="CD6" t="str">
        <v>TH Ngày</v>
      </c>
      <c r="CE6" t="str">
        <v>TH Lũy kế</v>
      </c>
      <c r="CF6" t="str">
        <v>% HT ngày</v>
      </c>
      <c r="CG6" t="str">
        <v>% HT KH tháng</v>
      </c>
      <c r="CH6" t="str">
        <v>TH Cùng kỳ tháng</v>
      </c>
      <c r="CI6" t="str">
        <v>% Tăng trưởng</v>
      </c>
      <c r="CJ6" t="str">
        <v>KH đến ngày</v>
      </c>
      <c r="CK6" t="str">
        <v>KH Tháng</v>
      </c>
      <c r="CL6" t="str">
        <v>TH Ngày</v>
      </c>
      <c r="CM6" t="str">
        <v>TH Lũy kế</v>
      </c>
      <c r="CN6" t="str">
        <v>% HT ngày</v>
      </c>
      <c r="CO6" t="str">
        <v>% HT KH tháng</v>
      </c>
      <c r="CP6" t="str">
        <v>TH Cùng kỳ tháng</v>
      </c>
      <c r="CQ6" t="str">
        <v>% Tăng trưởng</v>
      </c>
      <c r="CR6" t="str">
        <v>KH đến ngày</v>
      </c>
      <c r="CS6" t="str">
        <v>KH Tháng</v>
      </c>
      <c r="CT6" t="str">
        <v>TH Ngày</v>
      </c>
      <c r="CU6" t="str">
        <v>TH Lũy kế</v>
      </c>
      <c r="CV6" t="str">
        <v>% HT ngày</v>
      </c>
      <c r="CW6" t="str">
        <v>% HT KH tháng</v>
      </c>
      <c r="CX6" t="str">
        <v>TH Cùng kỳ tháng</v>
      </c>
      <c r="CY6" t="str">
        <v>% Tăng trưởng</v>
      </c>
      <c r="CZ6" t="str">
        <v>KH đến ngày</v>
      </c>
      <c r="DA6" t="str">
        <v>KH Tháng</v>
      </c>
      <c r="DB6" t="str">
        <v>TH Ngày</v>
      </c>
      <c r="DC6" t="str">
        <v>TH Lũy kế</v>
      </c>
      <c r="DD6" t="str">
        <v>% HT ngày</v>
      </c>
      <c r="DE6" t="str">
        <v>% HT KH tháng</v>
      </c>
      <c r="DF6" t="str">
        <v>TH Cùng kỳ tháng</v>
      </c>
      <c r="DG6" t="str">
        <v>% Tăng trưởng</v>
      </c>
    </row>
    <row r="7">
      <c r="A7" t="str">
        <v>LDG</v>
      </c>
      <c r="B7" t="str">
        <v>1000538100_DVTM</v>
      </c>
      <c r="C7" t="str">
        <v>Kho DVTM Cụm Di Linh - Lâm Đồng</v>
      </c>
      <c r="D7" t="str">
        <v>LDG001</v>
      </c>
      <c r="E7" t="str">
        <v>CNKD_LDG_BINHLT</v>
      </c>
      <c r="F7" t="str">
        <v>CNKD_Lương Thị Bình</v>
      </c>
      <c r="G7" t="str">
        <v>SENNT8_NVKDDB_LDG</v>
      </c>
      <c r="H7">
        <v>4</v>
      </c>
      <c r="I7">
        <v>7</v>
      </c>
      <c r="J7">
        <v>0</v>
      </c>
      <c r="K7">
        <v>12</v>
      </c>
      <c r="L7">
        <v>300</v>
      </c>
      <c r="M7">
        <v>171.43</v>
      </c>
      <c r="N7">
        <v>0</v>
      </c>
      <c r="O7">
        <v>100</v>
      </c>
      <c r="P7">
        <v>2</v>
      </c>
      <c r="Q7">
        <v>4</v>
      </c>
      <c r="R7">
        <v>0</v>
      </c>
      <c r="S7">
        <v>6</v>
      </c>
      <c r="T7">
        <v>262.5</v>
      </c>
      <c r="U7">
        <v>150</v>
      </c>
      <c r="V7">
        <v>0</v>
      </c>
      <c r="W7">
        <v>100</v>
      </c>
      <c r="X7">
        <v>1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100</v>
      </c>
      <c r="AF7">
        <v>2</v>
      </c>
      <c r="AG7">
        <v>4</v>
      </c>
      <c r="AH7">
        <v>0</v>
      </c>
      <c r="AI7">
        <v>0</v>
      </c>
      <c r="AJ7">
        <v>200</v>
      </c>
      <c r="AK7">
        <v>200</v>
      </c>
      <c r="AL7">
        <v>0</v>
      </c>
      <c r="AM7">
        <v>100</v>
      </c>
      <c r="AN7">
        <v>2</v>
      </c>
      <c r="AO7">
        <v>4</v>
      </c>
      <c r="AP7">
        <v>0</v>
      </c>
      <c r="AQ7">
        <v>0</v>
      </c>
      <c r="AR7">
        <v>0</v>
      </c>
      <c r="AS7">
        <v>0</v>
      </c>
      <c r="AT7">
        <v>0</v>
      </c>
      <c r="AU7">
        <v>100</v>
      </c>
      <c r="AV7">
        <v>20</v>
      </c>
      <c r="AW7">
        <v>35</v>
      </c>
      <c r="AX7">
        <v>0</v>
      </c>
      <c r="AY7">
        <v>37</v>
      </c>
      <c r="AZ7">
        <v>185</v>
      </c>
      <c r="BA7">
        <v>105.71</v>
      </c>
      <c r="BB7">
        <v>0</v>
      </c>
      <c r="BC7">
        <v>100</v>
      </c>
      <c r="BD7">
        <v>3</v>
      </c>
      <c r="BE7">
        <v>5</v>
      </c>
      <c r="BF7">
        <v>1</v>
      </c>
      <c r="BG7">
        <v>4</v>
      </c>
      <c r="BH7">
        <v>140</v>
      </c>
      <c r="BI7">
        <v>80</v>
      </c>
      <c r="BJ7">
        <v>0</v>
      </c>
      <c r="BK7">
        <v>100</v>
      </c>
      <c r="BL7">
        <v>0</v>
      </c>
      <c r="BM7">
        <v>0</v>
      </c>
      <c r="BN7">
        <v>0</v>
      </c>
      <c r="BO7">
        <v>0</v>
      </c>
      <c r="BP7">
        <v>100</v>
      </c>
      <c r="BQ7">
        <v>100</v>
      </c>
      <c r="BR7">
        <v>0</v>
      </c>
      <c r="BS7">
        <v>100</v>
      </c>
      <c r="BT7">
        <v>1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100</v>
      </c>
      <c r="CB7">
        <v>5</v>
      </c>
      <c r="CC7">
        <v>8</v>
      </c>
      <c r="CD7">
        <v>0</v>
      </c>
      <c r="CE7">
        <v>5</v>
      </c>
      <c r="CF7">
        <v>109.38</v>
      </c>
      <c r="CG7">
        <v>62.5</v>
      </c>
      <c r="CH7">
        <v>0</v>
      </c>
      <c r="CI7">
        <v>100</v>
      </c>
      <c r="CJ7">
        <v>2</v>
      </c>
      <c r="CK7">
        <v>4</v>
      </c>
      <c r="CL7">
        <v>0</v>
      </c>
      <c r="CM7">
        <v>9</v>
      </c>
      <c r="CN7">
        <v>393.75</v>
      </c>
      <c r="CO7">
        <v>225</v>
      </c>
      <c r="CP7">
        <v>0</v>
      </c>
      <c r="CQ7">
        <v>100</v>
      </c>
      <c r="CR7">
        <v>2</v>
      </c>
      <c r="CS7">
        <v>4</v>
      </c>
      <c r="CT7">
        <v>0</v>
      </c>
      <c r="CU7">
        <v>5</v>
      </c>
      <c r="CV7">
        <v>218.75</v>
      </c>
      <c r="CW7">
        <v>125</v>
      </c>
      <c r="CX7">
        <v>0</v>
      </c>
      <c r="CY7">
        <v>100</v>
      </c>
      <c r="CZ7">
        <v>1</v>
      </c>
      <c r="DA7">
        <v>1</v>
      </c>
      <c r="DB7">
        <v>0</v>
      </c>
      <c r="DC7">
        <v>6</v>
      </c>
      <c r="DD7">
        <v>1050</v>
      </c>
      <c r="DE7">
        <v>600</v>
      </c>
      <c r="DF7">
        <v>0</v>
      </c>
      <c r="DG7">
        <v>100</v>
      </c>
    </row>
    <row r="8">
      <c r="A8" t="str">
        <v>LDG</v>
      </c>
      <c r="B8" t="str">
        <v>1000538100_DVTM</v>
      </c>
      <c r="C8" t="str">
        <v>Kho DVTM Cụm Di Linh - Lâm Đồng</v>
      </c>
      <c r="D8" t="str">
        <v>LDG001</v>
      </c>
      <c r="E8" t="str">
        <v>CNKD_LDG_HANGBT</v>
      </c>
      <c r="F8" t="str">
        <v>CNKD_Bùi Thu Hằng</v>
      </c>
      <c r="G8" t="str">
        <v>SONTV10_NVKDDB_LDG</v>
      </c>
      <c r="H8">
        <v>4</v>
      </c>
      <c r="I8">
        <v>7</v>
      </c>
      <c r="J8">
        <v>0</v>
      </c>
      <c r="K8">
        <v>12</v>
      </c>
      <c r="L8">
        <v>300</v>
      </c>
      <c r="M8">
        <v>171.43</v>
      </c>
      <c r="N8">
        <v>0</v>
      </c>
      <c r="O8">
        <v>100</v>
      </c>
      <c r="P8">
        <v>2</v>
      </c>
      <c r="Q8">
        <v>4</v>
      </c>
      <c r="R8">
        <v>0</v>
      </c>
      <c r="S8">
        <v>4</v>
      </c>
      <c r="T8">
        <v>175</v>
      </c>
      <c r="U8">
        <v>100</v>
      </c>
      <c r="V8">
        <v>0</v>
      </c>
      <c r="W8">
        <v>100</v>
      </c>
      <c r="X8">
        <v>2</v>
      </c>
      <c r="Y8">
        <v>3</v>
      </c>
      <c r="Z8">
        <v>0</v>
      </c>
      <c r="AA8">
        <v>0</v>
      </c>
      <c r="AB8">
        <v>0</v>
      </c>
      <c r="AC8">
        <v>0</v>
      </c>
      <c r="AD8">
        <v>0</v>
      </c>
      <c r="AE8">
        <v>100</v>
      </c>
      <c r="AF8">
        <v>3</v>
      </c>
      <c r="AG8">
        <v>5</v>
      </c>
      <c r="AH8">
        <v>0</v>
      </c>
      <c r="AI8">
        <v>2</v>
      </c>
      <c r="AJ8">
        <v>130</v>
      </c>
      <c r="AK8">
        <v>160</v>
      </c>
      <c r="AL8">
        <v>5</v>
      </c>
      <c r="AM8">
        <v>-60</v>
      </c>
      <c r="AN8">
        <v>2</v>
      </c>
      <c r="AO8">
        <v>4</v>
      </c>
      <c r="AP8">
        <v>0</v>
      </c>
      <c r="AQ8">
        <v>0</v>
      </c>
      <c r="AR8">
        <v>0</v>
      </c>
      <c r="AS8">
        <v>0</v>
      </c>
      <c r="AT8">
        <v>0</v>
      </c>
      <c r="AU8">
        <v>100</v>
      </c>
      <c r="AV8">
        <v>17</v>
      </c>
      <c r="AW8">
        <v>30</v>
      </c>
      <c r="AX8">
        <v>0</v>
      </c>
      <c r="AY8">
        <v>71</v>
      </c>
      <c r="AZ8">
        <v>414.17</v>
      </c>
      <c r="BA8">
        <v>236.67</v>
      </c>
      <c r="BB8">
        <v>3</v>
      </c>
      <c r="BC8">
        <v>2266.67</v>
      </c>
      <c r="BD8">
        <v>3</v>
      </c>
      <c r="BE8">
        <v>5</v>
      </c>
      <c r="BF8">
        <v>1</v>
      </c>
      <c r="BG8">
        <v>5</v>
      </c>
      <c r="BH8">
        <v>175</v>
      </c>
      <c r="BI8">
        <v>100</v>
      </c>
      <c r="BJ8">
        <v>0</v>
      </c>
      <c r="BK8">
        <v>100</v>
      </c>
      <c r="BL8">
        <v>1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100</v>
      </c>
      <c r="BT8">
        <v>1</v>
      </c>
      <c r="BU8">
        <v>1</v>
      </c>
      <c r="BV8">
        <v>0</v>
      </c>
      <c r="BW8">
        <v>0</v>
      </c>
      <c r="BX8">
        <v>0</v>
      </c>
      <c r="BY8">
        <v>0</v>
      </c>
      <c r="BZ8">
        <v>0</v>
      </c>
      <c r="CA8">
        <v>100</v>
      </c>
      <c r="CB8">
        <v>5</v>
      </c>
      <c r="CC8">
        <v>8</v>
      </c>
      <c r="CD8">
        <v>0</v>
      </c>
      <c r="CE8">
        <v>10</v>
      </c>
      <c r="CF8">
        <v>218.75</v>
      </c>
      <c r="CG8">
        <v>125</v>
      </c>
      <c r="CH8">
        <v>0</v>
      </c>
      <c r="CI8">
        <v>100</v>
      </c>
      <c r="CJ8">
        <v>2</v>
      </c>
      <c r="CK8">
        <v>4</v>
      </c>
      <c r="CL8">
        <v>0</v>
      </c>
      <c r="CM8">
        <v>7</v>
      </c>
      <c r="CN8">
        <v>306.25</v>
      </c>
      <c r="CO8">
        <v>175</v>
      </c>
      <c r="CP8">
        <v>0</v>
      </c>
      <c r="CQ8">
        <v>100</v>
      </c>
      <c r="CR8">
        <v>2</v>
      </c>
      <c r="CS8">
        <v>4</v>
      </c>
      <c r="CT8">
        <v>0</v>
      </c>
      <c r="CU8">
        <v>4</v>
      </c>
      <c r="CV8">
        <v>175</v>
      </c>
      <c r="CW8">
        <v>100</v>
      </c>
      <c r="CX8">
        <v>1</v>
      </c>
      <c r="CY8">
        <v>300</v>
      </c>
      <c r="CZ8">
        <v>1</v>
      </c>
      <c r="DA8">
        <v>1</v>
      </c>
      <c r="DB8">
        <v>0</v>
      </c>
      <c r="DC8">
        <v>6</v>
      </c>
      <c r="DD8">
        <v>1050</v>
      </c>
      <c r="DE8">
        <v>600</v>
      </c>
      <c r="DF8">
        <v>0</v>
      </c>
      <c r="DG8">
        <v>100</v>
      </c>
    </row>
    <row r="9">
      <c r="A9" t="str">
        <v>LDG</v>
      </c>
      <c r="B9" t="str">
        <v>1000538100_DVTM</v>
      </c>
      <c r="C9" t="str">
        <v>Kho DVTM Cụm Di Linh - Lâm Đồng</v>
      </c>
      <c r="D9" t="str">
        <v>LDG001</v>
      </c>
      <c r="E9" t="str">
        <v>CNKD_LDG_HIEUBT</v>
      </c>
      <c r="F9" t="str">
        <v>CNKD_Bằng Trung Hiếu</v>
      </c>
      <c r="G9" t="str">
        <v>SONTV10_NVKDDB_LDG</v>
      </c>
      <c r="H9">
        <v>4</v>
      </c>
      <c r="I9">
        <v>7</v>
      </c>
      <c r="J9">
        <v>0</v>
      </c>
      <c r="K9">
        <v>12</v>
      </c>
      <c r="L9">
        <v>300</v>
      </c>
      <c r="M9">
        <v>171.43</v>
      </c>
      <c r="N9">
        <v>0</v>
      </c>
      <c r="O9">
        <v>100</v>
      </c>
      <c r="P9">
        <v>2</v>
      </c>
      <c r="Q9">
        <v>4</v>
      </c>
      <c r="R9">
        <v>0</v>
      </c>
      <c r="S9">
        <v>4</v>
      </c>
      <c r="T9">
        <v>175</v>
      </c>
      <c r="U9">
        <v>100</v>
      </c>
      <c r="V9">
        <v>0</v>
      </c>
      <c r="W9">
        <v>100</v>
      </c>
      <c r="X9">
        <v>2</v>
      </c>
      <c r="Y9">
        <v>3</v>
      </c>
      <c r="Z9">
        <v>0</v>
      </c>
      <c r="AA9">
        <v>1</v>
      </c>
      <c r="AB9">
        <v>58.33</v>
      </c>
      <c r="AC9">
        <v>33.33</v>
      </c>
      <c r="AD9">
        <v>1</v>
      </c>
      <c r="AE9">
        <v>0</v>
      </c>
      <c r="AF9">
        <v>3</v>
      </c>
      <c r="AG9">
        <v>5</v>
      </c>
      <c r="AH9">
        <v>0</v>
      </c>
      <c r="AI9">
        <v>0</v>
      </c>
      <c r="AJ9">
        <v>200</v>
      </c>
      <c r="AK9">
        <v>200</v>
      </c>
      <c r="AL9">
        <v>1</v>
      </c>
      <c r="AM9">
        <v>-100</v>
      </c>
      <c r="AN9">
        <v>2</v>
      </c>
      <c r="AO9">
        <v>4</v>
      </c>
      <c r="AP9">
        <v>0</v>
      </c>
      <c r="AQ9">
        <v>0</v>
      </c>
      <c r="AR9">
        <v>0</v>
      </c>
      <c r="AS9">
        <v>0</v>
      </c>
      <c r="AT9">
        <v>0</v>
      </c>
      <c r="AU9">
        <v>100</v>
      </c>
      <c r="AV9">
        <v>17</v>
      </c>
      <c r="AW9">
        <v>30</v>
      </c>
      <c r="AX9">
        <v>0</v>
      </c>
      <c r="AY9">
        <v>27</v>
      </c>
      <c r="AZ9">
        <v>157.5</v>
      </c>
      <c r="BA9">
        <v>90</v>
      </c>
      <c r="BB9">
        <v>0</v>
      </c>
      <c r="BC9">
        <v>100</v>
      </c>
      <c r="BD9">
        <v>3</v>
      </c>
      <c r="BE9">
        <v>5</v>
      </c>
      <c r="BF9">
        <v>1</v>
      </c>
      <c r="BG9">
        <v>5</v>
      </c>
      <c r="BH9">
        <v>175</v>
      </c>
      <c r="BI9">
        <v>100</v>
      </c>
      <c r="BJ9">
        <v>0</v>
      </c>
      <c r="BK9">
        <v>100</v>
      </c>
      <c r="BL9">
        <v>0</v>
      </c>
      <c r="BM9">
        <v>0</v>
      </c>
      <c r="BN9">
        <v>0</v>
      </c>
      <c r="BO9">
        <v>0</v>
      </c>
      <c r="BP9">
        <v>100</v>
      </c>
      <c r="BQ9">
        <v>100</v>
      </c>
      <c r="BR9">
        <v>0</v>
      </c>
      <c r="BS9">
        <v>100</v>
      </c>
      <c r="BT9">
        <v>1</v>
      </c>
      <c r="BU9">
        <v>1</v>
      </c>
      <c r="BV9">
        <v>0</v>
      </c>
      <c r="BW9">
        <v>0</v>
      </c>
      <c r="BX9">
        <v>0</v>
      </c>
      <c r="BY9">
        <v>0</v>
      </c>
      <c r="BZ9">
        <v>0</v>
      </c>
      <c r="CA9">
        <v>100</v>
      </c>
      <c r="CB9">
        <v>5</v>
      </c>
      <c r="CC9">
        <v>8</v>
      </c>
      <c r="CD9">
        <v>0</v>
      </c>
      <c r="CE9">
        <v>6</v>
      </c>
      <c r="CF9">
        <v>131.25</v>
      </c>
      <c r="CG9">
        <v>75</v>
      </c>
      <c r="CH9">
        <v>0</v>
      </c>
      <c r="CI9">
        <v>100</v>
      </c>
      <c r="CJ9">
        <v>2</v>
      </c>
      <c r="CK9">
        <v>4</v>
      </c>
      <c r="CL9">
        <v>0</v>
      </c>
      <c r="CM9">
        <v>3</v>
      </c>
      <c r="CN9">
        <v>131.25</v>
      </c>
      <c r="CO9">
        <v>75</v>
      </c>
      <c r="CP9">
        <v>0</v>
      </c>
      <c r="CQ9">
        <v>100</v>
      </c>
      <c r="CR9">
        <v>2</v>
      </c>
      <c r="CS9">
        <v>3</v>
      </c>
      <c r="CT9">
        <v>0</v>
      </c>
      <c r="CU9">
        <v>5</v>
      </c>
      <c r="CV9">
        <v>291.67</v>
      </c>
      <c r="CW9">
        <v>166.67</v>
      </c>
      <c r="CX9">
        <v>0</v>
      </c>
      <c r="CY9">
        <v>100</v>
      </c>
      <c r="CZ9">
        <v>1</v>
      </c>
      <c r="DA9">
        <v>1</v>
      </c>
      <c r="DB9">
        <v>0</v>
      </c>
      <c r="DC9">
        <v>2</v>
      </c>
      <c r="DD9">
        <v>350</v>
      </c>
      <c r="DE9">
        <v>200</v>
      </c>
      <c r="DF9">
        <v>0</v>
      </c>
      <c r="DG9">
        <v>100</v>
      </c>
    </row>
    <row r="10">
      <c r="A10" t="str">
        <v>LDG</v>
      </c>
      <c r="B10" t="str">
        <v>1000538100_DVTM</v>
      </c>
      <c r="C10" t="str">
        <v>Kho DVTM Cụm Di Linh - Lâm Đồng</v>
      </c>
      <c r="D10" t="str">
        <v>LDG001</v>
      </c>
      <c r="E10" t="str">
        <v>CNKD_LDG_HUNGTV1</v>
      </c>
      <c r="F10" t="str">
        <v>CNKD_Trần Văn Hùng</v>
      </c>
      <c r="G10" t="str">
        <v>SONTV10_NVKDDB_LDG</v>
      </c>
      <c r="H10">
        <v>4</v>
      </c>
      <c r="I10">
        <v>7</v>
      </c>
      <c r="J10">
        <v>0</v>
      </c>
      <c r="K10">
        <v>5</v>
      </c>
      <c r="L10">
        <v>125</v>
      </c>
      <c r="M10">
        <v>71.43</v>
      </c>
      <c r="N10">
        <v>0</v>
      </c>
      <c r="O10">
        <v>100</v>
      </c>
      <c r="P10">
        <v>2</v>
      </c>
      <c r="Q10">
        <v>3</v>
      </c>
      <c r="R10">
        <v>0</v>
      </c>
      <c r="S10">
        <v>4</v>
      </c>
      <c r="T10">
        <v>233.33</v>
      </c>
      <c r="U10">
        <v>133.33</v>
      </c>
      <c r="V10">
        <v>0</v>
      </c>
      <c r="W10">
        <v>100</v>
      </c>
      <c r="X10">
        <v>1</v>
      </c>
      <c r="Y10">
        <v>1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-100</v>
      </c>
      <c r="AF10">
        <v>2</v>
      </c>
      <c r="AG10">
        <v>3</v>
      </c>
      <c r="AH10">
        <v>0</v>
      </c>
      <c r="AI10">
        <v>0</v>
      </c>
      <c r="AJ10">
        <v>200</v>
      </c>
      <c r="AK10">
        <v>200</v>
      </c>
      <c r="AL10">
        <v>0</v>
      </c>
      <c r="AM10">
        <v>100</v>
      </c>
      <c r="AN10">
        <v>2</v>
      </c>
      <c r="AO10">
        <v>4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100</v>
      </c>
      <c r="AV10">
        <v>17</v>
      </c>
      <c r="AW10">
        <v>30</v>
      </c>
      <c r="AX10">
        <v>0</v>
      </c>
      <c r="AY10">
        <v>9</v>
      </c>
      <c r="AZ10">
        <v>52.5</v>
      </c>
      <c r="BA10">
        <v>30</v>
      </c>
      <c r="BB10">
        <v>3</v>
      </c>
      <c r="BC10">
        <v>200</v>
      </c>
      <c r="BD10">
        <v>2</v>
      </c>
      <c r="BE10">
        <v>4</v>
      </c>
      <c r="BF10">
        <v>0</v>
      </c>
      <c r="BG10">
        <v>2</v>
      </c>
      <c r="BH10">
        <v>87.5</v>
      </c>
      <c r="BI10">
        <v>50</v>
      </c>
      <c r="BJ10">
        <v>0</v>
      </c>
      <c r="BK10">
        <v>100</v>
      </c>
      <c r="BL10">
        <v>0</v>
      </c>
      <c r="BM10">
        <v>0</v>
      </c>
      <c r="BN10">
        <v>0</v>
      </c>
      <c r="BO10">
        <v>0</v>
      </c>
      <c r="BP10">
        <v>100</v>
      </c>
      <c r="BQ10">
        <v>100</v>
      </c>
      <c r="BR10">
        <v>0</v>
      </c>
      <c r="BS10">
        <v>100</v>
      </c>
      <c r="BT10">
        <v>1</v>
      </c>
      <c r="BU10">
        <v>1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100</v>
      </c>
      <c r="CB10">
        <v>5</v>
      </c>
      <c r="CC10">
        <v>8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100</v>
      </c>
      <c r="CJ10">
        <v>2</v>
      </c>
      <c r="CK10">
        <v>4</v>
      </c>
      <c r="CL10">
        <v>0</v>
      </c>
      <c r="CM10">
        <v>3</v>
      </c>
      <c r="CN10">
        <v>131.25</v>
      </c>
      <c r="CO10">
        <v>75</v>
      </c>
      <c r="CP10">
        <v>0</v>
      </c>
      <c r="CQ10">
        <v>100</v>
      </c>
      <c r="CR10">
        <v>2</v>
      </c>
      <c r="CS10">
        <v>3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100</v>
      </c>
      <c r="CZ10">
        <v>1</v>
      </c>
      <c r="DA10">
        <v>1</v>
      </c>
      <c r="DB10">
        <v>0</v>
      </c>
      <c r="DC10">
        <v>0</v>
      </c>
      <c r="DD10">
        <v>0</v>
      </c>
      <c r="DE10">
        <v>0</v>
      </c>
      <c r="DF10">
        <v>1</v>
      </c>
      <c r="DG10">
        <v>-100</v>
      </c>
    </row>
    <row r="11">
      <c r="A11" t="str">
        <v>LDG</v>
      </c>
      <c r="B11" t="str">
        <v>1000538100_DVTM</v>
      </c>
      <c r="C11" t="str">
        <v>Kho DVTM Cụm Di Linh - Lâm Đồng</v>
      </c>
      <c r="D11" t="str">
        <v>LDG001</v>
      </c>
      <c r="E11" t="str">
        <v>CNKD_LDG_HUONGNTS</v>
      </c>
      <c r="F11" t="str">
        <v>CNKD_Nguyễn Thị Song Hương</v>
      </c>
      <c r="G11" t="str">
        <v>SENNT8_NVKDDB_LDG</v>
      </c>
      <c r="H11">
        <v>4</v>
      </c>
      <c r="I11">
        <v>7</v>
      </c>
      <c r="J11">
        <v>0</v>
      </c>
      <c r="K11">
        <v>8</v>
      </c>
      <c r="L11">
        <v>200</v>
      </c>
      <c r="M11">
        <v>114.29</v>
      </c>
      <c r="N11">
        <v>0</v>
      </c>
      <c r="O11">
        <v>100</v>
      </c>
      <c r="P11">
        <v>2</v>
      </c>
      <c r="Q11">
        <v>4</v>
      </c>
      <c r="R11">
        <v>0</v>
      </c>
      <c r="S11">
        <v>4</v>
      </c>
      <c r="T11">
        <v>175</v>
      </c>
      <c r="U11">
        <v>100</v>
      </c>
      <c r="V11">
        <v>0</v>
      </c>
      <c r="W11">
        <v>100</v>
      </c>
      <c r="X11">
        <v>1</v>
      </c>
      <c r="Y11">
        <v>2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100</v>
      </c>
      <c r="AF11">
        <v>2</v>
      </c>
      <c r="AG11">
        <v>4</v>
      </c>
      <c r="AH11">
        <v>0</v>
      </c>
      <c r="AI11">
        <v>0</v>
      </c>
      <c r="AJ11">
        <v>200</v>
      </c>
      <c r="AK11">
        <v>200</v>
      </c>
      <c r="AL11">
        <v>0</v>
      </c>
      <c r="AM11">
        <v>100</v>
      </c>
      <c r="AN11">
        <v>2</v>
      </c>
      <c r="AO11">
        <v>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100</v>
      </c>
      <c r="AV11">
        <v>23</v>
      </c>
      <c r="AW11">
        <v>40</v>
      </c>
      <c r="AX11">
        <v>0</v>
      </c>
      <c r="AY11">
        <v>84</v>
      </c>
      <c r="AZ11">
        <v>367.5</v>
      </c>
      <c r="BA11">
        <v>210</v>
      </c>
      <c r="BB11">
        <v>1</v>
      </c>
      <c r="BC11">
        <v>8300</v>
      </c>
      <c r="BD11">
        <v>3</v>
      </c>
      <c r="BE11">
        <v>5</v>
      </c>
      <c r="BF11">
        <v>1</v>
      </c>
      <c r="BG11">
        <v>4</v>
      </c>
      <c r="BH11">
        <v>140</v>
      </c>
      <c r="BI11">
        <v>80</v>
      </c>
      <c r="BJ11">
        <v>0</v>
      </c>
      <c r="BK11">
        <v>100</v>
      </c>
      <c r="BL11">
        <v>0</v>
      </c>
      <c r="BM11">
        <v>0</v>
      </c>
      <c r="BN11">
        <v>0</v>
      </c>
      <c r="BO11">
        <v>0</v>
      </c>
      <c r="BP11">
        <v>100</v>
      </c>
      <c r="BQ11">
        <v>100</v>
      </c>
      <c r="BR11">
        <v>0</v>
      </c>
      <c r="BS11">
        <v>100</v>
      </c>
      <c r="BT11">
        <v>1</v>
      </c>
      <c r="BU11">
        <v>1</v>
      </c>
      <c r="BV11">
        <v>0</v>
      </c>
      <c r="BW11">
        <v>1</v>
      </c>
      <c r="BX11">
        <v>175</v>
      </c>
      <c r="BY11">
        <v>100</v>
      </c>
      <c r="BZ11">
        <v>0</v>
      </c>
      <c r="CA11">
        <v>100</v>
      </c>
      <c r="CB11">
        <v>5</v>
      </c>
      <c r="CC11">
        <v>8</v>
      </c>
      <c r="CD11">
        <v>0</v>
      </c>
      <c r="CE11">
        <v>7</v>
      </c>
      <c r="CF11">
        <v>153.13</v>
      </c>
      <c r="CG11">
        <v>87.5</v>
      </c>
      <c r="CH11">
        <v>0</v>
      </c>
      <c r="CI11">
        <v>100</v>
      </c>
      <c r="CJ11">
        <v>2</v>
      </c>
      <c r="CK11">
        <v>4</v>
      </c>
      <c r="CL11">
        <v>0</v>
      </c>
      <c r="CM11">
        <v>3</v>
      </c>
      <c r="CN11">
        <v>131.25</v>
      </c>
      <c r="CO11">
        <v>75</v>
      </c>
      <c r="CP11">
        <v>0</v>
      </c>
      <c r="CQ11">
        <v>100</v>
      </c>
      <c r="CR11">
        <v>2</v>
      </c>
      <c r="CS11">
        <v>4</v>
      </c>
      <c r="CT11">
        <v>1</v>
      </c>
      <c r="CU11">
        <v>3</v>
      </c>
      <c r="CV11">
        <v>131.25</v>
      </c>
      <c r="CW11">
        <v>75</v>
      </c>
      <c r="CX11">
        <v>1</v>
      </c>
      <c r="CY11">
        <v>200</v>
      </c>
      <c r="CZ11">
        <v>1</v>
      </c>
      <c r="DA11">
        <v>1</v>
      </c>
      <c r="DB11">
        <v>0</v>
      </c>
      <c r="DC11">
        <v>6</v>
      </c>
      <c r="DD11">
        <v>1050</v>
      </c>
      <c r="DE11">
        <v>600</v>
      </c>
      <c r="DF11">
        <v>1</v>
      </c>
      <c r="DG11">
        <v>500</v>
      </c>
    </row>
    <row r="12">
      <c r="A12" t="str">
        <v>LDG</v>
      </c>
      <c r="B12" t="str">
        <v>1000538100_DVTM</v>
      </c>
      <c r="C12" t="str">
        <v>Kho DVTM Cụm Di Linh - Lâm Đồng</v>
      </c>
      <c r="D12" t="str">
        <v>LDG001</v>
      </c>
      <c r="E12" t="str">
        <v>CNKD_LDG_HUONGVTT</v>
      </c>
      <c r="F12" t="str">
        <v>CNKD_Vũ Thị Thu Hương</v>
      </c>
      <c r="G12" t="str">
        <v>SONTV10_NVKDDB_LDG</v>
      </c>
      <c r="H12">
        <v>4</v>
      </c>
      <c r="I12">
        <v>7</v>
      </c>
      <c r="J12">
        <v>0</v>
      </c>
      <c r="K12">
        <v>5</v>
      </c>
      <c r="L12">
        <v>125</v>
      </c>
      <c r="M12">
        <v>71.43</v>
      </c>
      <c r="N12">
        <v>0</v>
      </c>
      <c r="O12">
        <v>100</v>
      </c>
      <c r="P12">
        <v>2</v>
      </c>
      <c r="Q12">
        <v>3</v>
      </c>
      <c r="R12">
        <v>0</v>
      </c>
      <c r="S12">
        <v>2</v>
      </c>
      <c r="T12">
        <v>116.67</v>
      </c>
      <c r="U12">
        <v>66.67</v>
      </c>
      <c r="V12">
        <v>0</v>
      </c>
      <c r="W12">
        <v>100</v>
      </c>
      <c r="X12">
        <v>1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100</v>
      </c>
      <c r="AF12">
        <v>2</v>
      </c>
      <c r="AG12">
        <v>4</v>
      </c>
      <c r="AH12">
        <v>0</v>
      </c>
      <c r="AI12">
        <v>0</v>
      </c>
      <c r="AJ12">
        <v>200</v>
      </c>
      <c r="AK12">
        <v>200</v>
      </c>
      <c r="AL12">
        <v>0</v>
      </c>
      <c r="AM12">
        <v>100</v>
      </c>
      <c r="AN12">
        <v>2</v>
      </c>
      <c r="AO12">
        <v>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100</v>
      </c>
      <c r="AV12">
        <v>17</v>
      </c>
      <c r="AW12">
        <v>30</v>
      </c>
      <c r="AX12">
        <v>0</v>
      </c>
      <c r="AY12">
        <v>26</v>
      </c>
      <c r="AZ12">
        <v>151.67</v>
      </c>
      <c r="BA12">
        <v>86.67</v>
      </c>
      <c r="BB12">
        <v>0</v>
      </c>
      <c r="BC12">
        <v>100</v>
      </c>
      <c r="BD12">
        <v>2</v>
      </c>
      <c r="BE12">
        <v>4</v>
      </c>
      <c r="BF12">
        <v>0</v>
      </c>
      <c r="BG12">
        <v>1</v>
      </c>
      <c r="BH12">
        <v>43.75</v>
      </c>
      <c r="BI12">
        <v>25</v>
      </c>
      <c r="BJ12">
        <v>0</v>
      </c>
      <c r="BK12">
        <v>100</v>
      </c>
      <c r="BL12">
        <v>0</v>
      </c>
      <c r="BM12">
        <v>0</v>
      </c>
      <c r="BN12">
        <v>0</v>
      </c>
      <c r="BO12">
        <v>0</v>
      </c>
      <c r="BP12">
        <v>100</v>
      </c>
      <c r="BQ12">
        <v>100</v>
      </c>
      <c r="BR12">
        <v>0</v>
      </c>
      <c r="BS12">
        <v>100</v>
      </c>
      <c r="BT12">
        <v>1</v>
      </c>
      <c r="BU12">
        <v>1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100</v>
      </c>
      <c r="CB12">
        <v>5</v>
      </c>
      <c r="CC12">
        <v>8</v>
      </c>
      <c r="CD12">
        <v>0</v>
      </c>
      <c r="CE12">
        <v>3</v>
      </c>
      <c r="CF12">
        <v>65.63</v>
      </c>
      <c r="CG12">
        <v>37.5</v>
      </c>
      <c r="CH12">
        <v>0</v>
      </c>
      <c r="CI12">
        <v>100</v>
      </c>
      <c r="CJ12">
        <v>2</v>
      </c>
      <c r="CK12">
        <v>4</v>
      </c>
      <c r="CL12">
        <v>0</v>
      </c>
      <c r="CM12">
        <v>2</v>
      </c>
      <c r="CN12">
        <v>87.5</v>
      </c>
      <c r="CO12">
        <v>50</v>
      </c>
      <c r="CP12">
        <v>0</v>
      </c>
      <c r="CQ12">
        <v>100</v>
      </c>
      <c r="CR12">
        <v>2</v>
      </c>
      <c r="CS12">
        <v>3</v>
      </c>
      <c r="CT12">
        <v>0</v>
      </c>
      <c r="CU12">
        <v>3</v>
      </c>
      <c r="CV12">
        <v>175</v>
      </c>
      <c r="CW12">
        <v>100</v>
      </c>
      <c r="CX12">
        <v>0</v>
      </c>
      <c r="CY12">
        <v>100</v>
      </c>
      <c r="CZ12">
        <v>1</v>
      </c>
      <c r="DA12">
        <v>1</v>
      </c>
      <c r="DB12">
        <v>0</v>
      </c>
      <c r="DC12">
        <v>1</v>
      </c>
      <c r="DD12">
        <v>175</v>
      </c>
      <c r="DE12">
        <v>100</v>
      </c>
      <c r="DF12">
        <v>0</v>
      </c>
      <c r="DG12">
        <v>100</v>
      </c>
    </row>
    <row r="13">
      <c r="A13" t="str">
        <v>LDG</v>
      </c>
      <c r="B13" t="str">
        <v>1000538100_DVTM</v>
      </c>
      <c r="C13" t="str">
        <v>Kho DVTM Cụm Di Linh - Lâm Đồng</v>
      </c>
      <c r="D13" t="str">
        <v>LDG001</v>
      </c>
      <c r="E13" t="str">
        <v>CNKD_LDG_LINHPM</v>
      </c>
      <c r="F13" t="str">
        <v>CNKD_Phạm Mỹ Linh</v>
      </c>
      <c r="G13" t="str">
        <v>VIETDQ9_NVKDDB_LDG</v>
      </c>
      <c r="H13">
        <v>5</v>
      </c>
      <c r="I13">
        <v>8</v>
      </c>
      <c r="J13">
        <v>0</v>
      </c>
      <c r="K13">
        <v>8</v>
      </c>
      <c r="L13">
        <v>175</v>
      </c>
      <c r="M13">
        <v>100</v>
      </c>
      <c r="N13">
        <v>0</v>
      </c>
      <c r="O13">
        <v>100</v>
      </c>
      <c r="P13">
        <v>2</v>
      </c>
      <c r="Q13">
        <v>4</v>
      </c>
      <c r="R13">
        <v>0</v>
      </c>
      <c r="S13">
        <v>3</v>
      </c>
      <c r="T13">
        <v>131.25</v>
      </c>
      <c r="U13">
        <v>75</v>
      </c>
      <c r="V13">
        <v>0</v>
      </c>
      <c r="W13">
        <v>100</v>
      </c>
      <c r="X13">
        <v>1</v>
      </c>
      <c r="Y13">
        <v>2</v>
      </c>
      <c r="Z13">
        <v>0</v>
      </c>
      <c r="AA13">
        <v>0</v>
      </c>
      <c r="AB13">
        <v>0</v>
      </c>
      <c r="AC13">
        <v>0</v>
      </c>
      <c r="AD13">
        <v>2</v>
      </c>
      <c r="AE13">
        <v>-100</v>
      </c>
      <c r="AF13">
        <v>3</v>
      </c>
      <c r="AG13">
        <v>5</v>
      </c>
      <c r="AH13">
        <v>0</v>
      </c>
      <c r="AI13">
        <v>0</v>
      </c>
      <c r="AJ13">
        <v>200</v>
      </c>
      <c r="AK13">
        <v>200</v>
      </c>
      <c r="AL13">
        <v>0</v>
      </c>
      <c r="AM13">
        <v>100</v>
      </c>
      <c r="AN13">
        <v>2</v>
      </c>
      <c r="AO13">
        <v>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100</v>
      </c>
      <c r="AV13">
        <v>29</v>
      </c>
      <c r="AW13">
        <v>50</v>
      </c>
      <c r="AX13">
        <v>0</v>
      </c>
      <c r="AY13">
        <v>66</v>
      </c>
      <c r="AZ13">
        <v>231</v>
      </c>
      <c r="BA13">
        <v>132</v>
      </c>
      <c r="BB13">
        <v>0</v>
      </c>
      <c r="BC13">
        <v>100</v>
      </c>
      <c r="BD13">
        <v>3</v>
      </c>
      <c r="BE13">
        <v>5</v>
      </c>
      <c r="BF13">
        <v>0</v>
      </c>
      <c r="BG13">
        <v>4</v>
      </c>
      <c r="BH13">
        <v>140</v>
      </c>
      <c r="BI13">
        <v>80</v>
      </c>
      <c r="BJ13">
        <v>0</v>
      </c>
      <c r="BK13">
        <v>100</v>
      </c>
      <c r="BL13">
        <v>1</v>
      </c>
      <c r="BM13">
        <v>1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100</v>
      </c>
      <c r="BT13">
        <v>1</v>
      </c>
      <c r="BU13">
        <v>1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100</v>
      </c>
      <c r="CB13">
        <v>5</v>
      </c>
      <c r="CC13">
        <v>9</v>
      </c>
      <c r="CD13">
        <v>0</v>
      </c>
      <c r="CE13">
        <v>11</v>
      </c>
      <c r="CF13">
        <v>213.89</v>
      </c>
      <c r="CG13">
        <v>122.22</v>
      </c>
      <c r="CH13">
        <v>0</v>
      </c>
      <c r="CI13">
        <v>100</v>
      </c>
      <c r="CJ13">
        <v>3</v>
      </c>
      <c r="CK13">
        <v>5</v>
      </c>
      <c r="CL13">
        <v>0</v>
      </c>
      <c r="CM13">
        <v>1</v>
      </c>
      <c r="CN13">
        <v>35</v>
      </c>
      <c r="CO13">
        <v>20</v>
      </c>
      <c r="CP13">
        <v>0</v>
      </c>
      <c r="CQ13">
        <v>100</v>
      </c>
      <c r="CR13">
        <v>2</v>
      </c>
      <c r="CS13">
        <v>4</v>
      </c>
      <c r="CT13">
        <v>0</v>
      </c>
      <c r="CU13">
        <v>3</v>
      </c>
      <c r="CV13">
        <v>131.25</v>
      </c>
      <c r="CW13">
        <v>75</v>
      </c>
      <c r="CX13">
        <v>0</v>
      </c>
      <c r="CY13">
        <v>100</v>
      </c>
      <c r="CZ13">
        <v>1</v>
      </c>
      <c r="DA13">
        <v>1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100</v>
      </c>
    </row>
    <row r="14">
      <c r="A14" t="str">
        <v>LDG</v>
      </c>
      <c r="B14" t="str">
        <v>1000538100_DVTM</v>
      </c>
      <c r="C14" t="str">
        <v>Kho DVTM Cụm Di Linh - Lâm Đồng</v>
      </c>
      <c r="D14" t="str">
        <v>LDG001</v>
      </c>
      <c r="E14" t="str">
        <v>CNKD_LDG_LOANBTB</v>
      </c>
      <c r="F14" t="str">
        <v>CNKD_Bùi Thị Bích Loan</v>
      </c>
      <c r="G14" t="str">
        <v>SENNT8_NVKDDB_LDG</v>
      </c>
      <c r="H14">
        <v>4</v>
      </c>
      <c r="I14">
        <v>7</v>
      </c>
      <c r="J14">
        <v>0</v>
      </c>
      <c r="K14">
        <v>8</v>
      </c>
      <c r="L14">
        <v>200</v>
      </c>
      <c r="M14">
        <v>114.29</v>
      </c>
      <c r="N14">
        <v>0</v>
      </c>
      <c r="O14">
        <v>100</v>
      </c>
      <c r="P14">
        <v>2</v>
      </c>
      <c r="Q14">
        <v>4</v>
      </c>
      <c r="R14">
        <v>0</v>
      </c>
      <c r="S14">
        <v>5</v>
      </c>
      <c r="T14">
        <v>218.75</v>
      </c>
      <c r="U14">
        <v>125</v>
      </c>
      <c r="V14">
        <v>0</v>
      </c>
      <c r="W14">
        <v>100</v>
      </c>
      <c r="X14">
        <v>1</v>
      </c>
      <c r="Y14">
        <v>2</v>
      </c>
      <c r="Z14">
        <v>0</v>
      </c>
      <c r="AA14">
        <v>1</v>
      </c>
      <c r="AB14">
        <v>87.5</v>
      </c>
      <c r="AC14">
        <v>50</v>
      </c>
      <c r="AD14">
        <v>0</v>
      </c>
      <c r="AE14">
        <v>100</v>
      </c>
      <c r="AF14">
        <v>2</v>
      </c>
      <c r="AG14">
        <v>4</v>
      </c>
      <c r="AH14">
        <v>0</v>
      </c>
      <c r="AI14">
        <v>1</v>
      </c>
      <c r="AJ14">
        <v>156.25</v>
      </c>
      <c r="AK14">
        <v>175</v>
      </c>
      <c r="AL14">
        <v>0</v>
      </c>
      <c r="AM14">
        <v>100</v>
      </c>
      <c r="AN14">
        <v>2</v>
      </c>
      <c r="AO14">
        <v>4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100</v>
      </c>
      <c r="AV14">
        <v>34</v>
      </c>
      <c r="AW14">
        <v>60</v>
      </c>
      <c r="AX14">
        <v>0</v>
      </c>
      <c r="AY14">
        <v>187</v>
      </c>
      <c r="AZ14">
        <v>545.42</v>
      </c>
      <c r="BA14">
        <v>311.67</v>
      </c>
      <c r="BB14">
        <v>0</v>
      </c>
      <c r="BC14">
        <v>100</v>
      </c>
      <c r="BD14">
        <v>3</v>
      </c>
      <c r="BE14">
        <v>5</v>
      </c>
      <c r="BF14">
        <v>1</v>
      </c>
      <c r="BG14">
        <v>3</v>
      </c>
      <c r="BH14">
        <v>105</v>
      </c>
      <c r="BI14">
        <v>60</v>
      </c>
      <c r="BJ14">
        <v>0</v>
      </c>
      <c r="BK14">
        <v>100</v>
      </c>
      <c r="BL14">
        <v>1</v>
      </c>
      <c r="BM14">
        <v>1</v>
      </c>
      <c r="BN14">
        <v>0</v>
      </c>
      <c r="BO14">
        <v>6</v>
      </c>
      <c r="BP14">
        <v>1050</v>
      </c>
      <c r="BQ14">
        <v>600</v>
      </c>
      <c r="BR14">
        <v>0</v>
      </c>
      <c r="BS14">
        <v>100</v>
      </c>
      <c r="BT14">
        <v>1</v>
      </c>
      <c r="BU14">
        <v>1</v>
      </c>
      <c r="BV14">
        <v>0</v>
      </c>
      <c r="BW14">
        <v>1</v>
      </c>
      <c r="BX14">
        <v>175</v>
      </c>
      <c r="BY14">
        <v>100</v>
      </c>
      <c r="BZ14">
        <v>0</v>
      </c>
      <c r="CA14">
        <v>100</v>
      </c>
      <c r="CB14">
        <v>5</v>
      </c>
      <c r="CC14">
        <v>8</v>
      </c>
      <c r="CD14">
        <v>0</v>
      </c>
      <c r="CE14">
        <v>17</v>
      </c>
      <c r="CF14">
        <v>371.88</v>
      </c>
      <c r="CG14">
        <v>212.5</v>
      </c>
      <c r="CH14">
        <v>0</v>
      </c>
      <c r="CI14">
        <v>100</v>
      </c>
      <c r="CJ14">
        <v>2</v>
      </c>
      <c r="CK14">
        <v>4</v>
      </c>
      <c r="CL14">
        <v>0</v>
      </c>
      <c r="CM14">
        <v>7</v>
      </c>
      <c r="CN14">
        <v>306.25</v>
      </c>
      <c r="CO14">
        <v>175</v>
      </c>
      <c r="CP14">
        <v>0</v>
      </c>
      <c r="CQ14">
        <v>100</v>
      </c>
      <c r="CR14">
        <v>2</v>
      </c>
      <c r="CS14">
        <v>4</v>
      </c>
      <c r="CT14">
        <v>0</v>
      </c>
      <c r="CU14">
        <v>9</v>
      </c>
      <c r="CV14">
        <v>393.75</v>
      </c>
      <c r="CW14">
        <v>225</v>
      </c>
      <c r="CX14">
        <v>0</v>
      </c>
      <c r="CY14">
        <v>100</v>
      </c>
      <c r="CZ14">
        <v>1</v>
      </c>
      <c r="DA14">
        <v>1</v>
      </c>
      <c r="DB14">
        <v>0</v>
      </c>
      <c r="DC14">
        <v>15</v>
      </c>
      <c r="DD14">
        <v>2625</v>
      </c>
      <c r="DE14">
        <v>1500</v>
      </c>
      <c r="DF14">
        <v>0</v>
      </c>
      <c r="DG14">
        <v>100</v>
      </c>
    </row>
    <row r="15">
      <c r="A15" t="str">
        <v>LDG</v>
      </c>
      <c r="B15" t="str">
        <v>1000538100_DVTM</v>
      </c>
      <c r="C15" t="str">
        <v>Kho DVTM Cụm Di Linh - Lâm Đồng</v>
      </c>
      <c r="D15" t="str">
        <v>LDG001</v>
      </c>
      <c r="E15" t="str">
        <v>CNKD_LDG_NHUANVD</v>
      </c>
      <c r="F15" t="str">
        <v>CNKD_Vũ Đức Nhuận</v>
      </c>
      <c r="G15" t="str">
        <v>VIETDQ9_NVKDDB_LDG</v>
      </c>
      <c r="H15">
        <v>5</v>
      </c>
      <c r="I15">
        <v>8</v>
      </c>
      <c r="J15">
        <v>0</v>
      </c>
      <c r="K15">
        <v>9</v>
      </c>
      <c r="L15">
        <v>196.88</v>
      </c>
      <c r="M15">
        <v>112.5</v>
      </c>
      <c r="N15">
        <v>0</v>
      </c>
      <c r="O15">
        <v>100</v>
      </c>
      <c r="P15">
        <v>2</v>
      </c>
      <c r="Q15">
        <v>4</v>
      </c>
      <c r="R15">
        <v>0</v>
      </c>
      <c r="S15">
        <v>2</v>
      </c>
      <c r="T15">
        <v>87.5</v>
      </c>
      <c r="U15">
        <v>50</v>
      </c>
      <c r="V15">
        <v>0</v>
      </c>
      <c r="W15">
        <v>100</v>
      </c>
      <c r="X15">
        <v>2</v>
      </c>
      <c r="Y15">
        <v>3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-100</v>
      </c>
      <c r="AF15">
        <v>3</v>
      </c>
      <c r="AG15">
        <v>5</v>
      </c>
      <c r="AH15">
        <v>0</v>
      </c>
      <c r="AI15">
        <v>0</v>
      </c>
      <c r="AJ15">
        <v>200</v>
      </c>
      <c r="AK15">
        <v>200</v>
      </c>
      <c r="AL15">
        <v>0</v>
      </c>
      <c r="AM15">
        <v>100</v>
      </c>
      <c r="AN15">
        <v>2</v>
      </c>
      <c r="AO15">
        <v>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100</v>
      </c>
      <c r="AV15">
        <v>17</v>
      </c>
      <c r="AW15">
        <v>30</v>
      </c>
      <c r="AX15">
        <v>0</v>
      </c>
      <c r="AY15">
        <v>48</v>
      </c>
      <c r="AZ15">
        <v>280</v>
      </c>
      <c r="BA15">
        <v>160</v>
      </c>
      <c r="BB15">
        <v>0</v>
      </c>
      <c r="BC15">
        <v>100</v>
      </c>
      <c r="BD15">
        <v>3</v>
      </c>
      <c r="BE15">
        <v>5</v>
      </c>
      <c r="BF15">
        <v>1</v>
      </c>
      <c r="BG15">
        <v>3</v>
      </c>
      <c r="BH15">
        <v>105</v>
      </c>
      <c r="BI15">
        <v>60</v>
      </c>
      <c r="BJ15">
        <v>0</v>
      </c>
      <c r="BK15">
        <v>100</v>
      </c>
      <c r="BL15">
        <v>0</v>
      </c>
      <c r="BM15">
        <v>0</v>
      </c>
      <c r="BN15">
        <v>0</v>
      </c>
      <c r="BO15">
        <v>0</v>
      </c>
      <c r="BP15">
        <v>100</v>
      </c>
      <c r="BQ15">
        <v>100</v>
      </c>
      <c r="BR15">
        <v>0</v>
      </c>
      <c r="BS15">
        <v>100</v>
      </c>
      <c r="BT15">
        <v>1</v>
      </c>
      <c r="BU15">
        <v>1</v>
      </c>
      <c r="BV15">
        <v>0</v>
      </c>
      <c r="BW15">
        <v>1</v>
      </c>
      <c r="BX15">
        <v>175</v>
      </c>
      <c r="BY15">
        <v>100</v>
      </c>
      <c r="BZ15">
        <v>0</v>
      </c>
      <c r="CA15">
        <v>100</v>
      </c>
      <c r="CB15">
        <v>5</v>
      </c>
      <c r="CC15">
        <v>9</v>
      </c>
      <c r="CD15">
        <v>0</v>
      </c>
      <c r="CE15">
        <v>11</v>
      </c>
      <c r="CF15">
        <v>213.89</v>
      </c>
      <c r="CG15">
        <v>122.22</v>
      </c>
      <c r="CH15">
        <v>0</v>
      </c>
      <c r="CI15">
        <v>100</v>
      </c>
      <c r="CJ15">
        <v>3</v>
      </c>
      <c r="CK15">
        <v>5</v>
      </c>
      <c r="CL15">
        <v>0</v>
      </c>
      <c r="CM15">
        <v>6</v>
      </c>
      <c r="CN15">
        <v>210</v>
      </c>
      <c r="CO15">
        <v>120</v>
      </c>
      <c r="CP15">
        <v>0</v>
      </c>
      <c r="CQ15">
        <v>100</v>
      </c>
      <c r="CR15">
        <v>2</v>
      </c>
      <c r="CS15">
        <v>3</v>
      </c>
      <c r="CT15">
        <v>0</v>
      </c>
      <c r="CU15">
        <v>2</v>
      </c>
      <c r="CV15">
        <v>116.67</v>
      </c>
      <c r="CW15">
        <v>66.67</v>
      </c>
      <c r="CX15">
        <v>0</v>
      </c>
      <c r="CY15">
        <v>100</v>
      </c>
      <c r="CZ15">
        <v>1</v>
      </c>
      <c r="DA15">
        <v>1</v>
      </c>
      <c r="DB15">
        <v>0</v>
      </c>
      <c r="DC15">
        <v>1</v>
      </c>
      <c r="DD15">
        <v>175</v>
      </c>
      <c r="DE15">
        <v>100</v>
      </c>
      <c r="DF15">
        <v>0</v>
      </c>
      <c r="DG15">
        <v>100</v>
      </c>
    </row>
    <row r="16">
      <c r="A16" t="str">
        <v>LDG</v>
      </c>
      <c r="B16" t="str">
        <v>1000538100_DVTM</v>
      </c>
      <c r="C16" t="str">
        <v>Kho DVTM Cụm Di Linh - Lâm Đồng</v>
      </c>
      <c r="D16" t="str">
        <v>LDG001</v>
      </c>
      <c r="E16" t="str">
        <v>CNKD_LDG_NHUNGPT</v>
      </c>
      <c r="F16" t="str">
        <v>CNKD_Phạm Thị Nhung</v>
      </c>
      <c r="G16" t="str">
        <v>SENNT8_NVKDDB_LDG</v>
      </c>
      <c r="H16">
        <v>4</v>
      </c>
      <c r="I16">
        <v>7</v>
      </c>
      <c r="J16">
        <v>0</v>
      </c>
      <c r="K16">
        <v>5</v>
      </c>
      <c r="L16">
        <v>125</v>
      </c>
      <c r="M16">
        <v>71.43</v>
      </c>
      <c r="N16">
        <v>0</v>
      </c>
      <c r="O16">
        <v>100</v>
      </c>
      <c r="P16">
        <v>2</v>
      </c>
      <c r="Q16">
        <v>4</v>
      </c>
      <c r="R16">
        <v>0</v>
      </c>
      <c r="S16">
        <v>2</v>
      </c>
      <c r="T16">
        <v>87.5</v>
      </c>
      <c r="U16">
        <v>50</v>
      </c>
      <c r="V16">
        <v>0</v>
      </c>
      <c r="W16">
        <v>100</v>
      </c>
      <c r="X16">
        <v>2</v>
      </c>
      <c r="Y16">
        <v>3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100</v>
      </c>
      <c r="AF16">
        <v>2</v>
      </c>
      <c r="AG16">
        <v>4</v>
      </c>
      <c r="AH16">
        <v>0</v>
      </c>
      <c r="AI16">
        <v>5</v>
      </c>
      <c r="AJ16">
        <v>-18.75</v>
      </c>
      <c r="AK16">
        <v>75</v>
      </c>
      <c r="AL16">
        <v>2</v>
      </c>
      <c r="AM16">
        <v>150</v>
      </c>
      <c r="AN16">
        <v>2</v>
      </c>
      <c r="AO16">
        <v>4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100</v>
      </c>
      <c r="AV16">
        <v>20</v>
      </c>
      <c r="AW16">
        <v>35</v>
      </c>
      <c r="AX16">
        <v>0</v>
      </c>
      <c r="AY16">
        <v>92</v>
      </c>
      <c r="AZ16">
        <v>460</v>
      </c>
      <c r="BA16">
        <v>262.86</v>
      </c>
      <c r="BB16">
        <v>0</v>
      </c>
      <c r="BC16">
        <v>100</v>
      </c>
      <c r="BD16">
        <v>3</v>
      </c>
      <c r="BE16">
        <v>5</v>
      </c>
      <c r="BF16">
        <v>0</v>
      </c>
      <c r="BG16">
        <v>2</v>
      </c>
      <c r="BH16">
        <v>70</v>
      </c>
      <c r="BI16">
        <v>40</v>
      </c>
      <c r="BJ16">
        <v>0</v>
      </c>
      <c r="BK16">
        <v>100</v>
      </c>
      <c r="BL16">
        <v>1</v>
      </c>
      <c r="BM16">
        <v>1</v>
      </c>
      <c r="BN16">
        <v>0</v>
      </c>
      <c r="BO16">
        <v>2</v>
      </c>
      <c r="BP16">
        <v>350</v>
      </c>
      <c r="BQ16">
        <v>200</v>
      </c>
      <c r="BR16">
        <v>0</v>
      </c>
      <c r="BS16">
        <v>100</v>
      </c>
      <c r="BT16">
        <v>1</v>
      </c>
      <c r="BU16">
        <v>1</v>
      </c>
      <c r="BV16">
        <v>0</v>
      </c>
      <c r="BW16">
        <v>1</v>
      </c>
      <c r="BX16">
        <v>175</v>
      </c>
      <c r="BY16">
        <v>100</v>
      </c>
      <c r="BZ16">
        <v>0</v>
      </c>
      <c r="CA16">
        <v>100</v>
      </c>
      <c r="CB16">
        <v>5</v>
      </c>
      <c r="CC16">
        <v>8</v>
      </c>
      <c r="CD16">
        <v>0</v>
      </c>
      <c r="CE16">
        <v>6</v>
      </c>
      <c r="CF16">
        <v>131.25</v>
      </c>
      <c r="CG16">
        <v>75</v>
      </c>
      <c r="CH16">
        <v>0</v>
      </c>
      <c r="CI16">
        <v>100</v>
      </c>
      <c r="CJ16">
        <v>2</v>
      </c>
      <c r="CK16">
        <v>4</v>
      </c>
      <c r="CL16">
        <v>0</v>
      </c>
      <c r="CM16">
        <v>4</v>
      </c>
      <c r="CN16">
        <v>175</v>
      </c>
      <c r="CO16">
        <v>100</v>
      </c>
      <c r="CP16">
        <v>0</v>
      </c>
      <c r="CQ16">
        <v>100</v>
      </c>
      <c r="CR16">
        <v>2</v>
      </c>
      <c r="CS16">
        <v>4</v>
      </c>
      <c r="CT16">
        <v>0</v>
      </c>
      <c r="CU16">
        <v>7</v>
      </c>
      <c r="CV16">
        <v>306.25</v>
      </c>
      <c r="CW16">
        <v>175</v>
      </c>
      <c r="CX16">
        <v>0</v>
      </c>
      <c r="CY16">
        <v>100</v>
      </c>
      <c r="CZ16">
        <v>1</v>
      </c>
      <c r="DA16">
        <v>1</v>
      </c>
      <c r="DB16">
        <v>0</v>
      </c>
      <c r="DC16">
        <v>9</v>
      </c>
      <c r="DD16">
        <v>1575</v>
      </c>
      <c r="DE16">
        <v>900</v>
      </c>
      <c r="DF16">
        <v>1</v>
      </c>
      <c r="DG16">
        <v>800</v>
      </c>
    </row>
    <row r="17">
      <c r="A17" t="str">
        <v>LDG</v>
      </c>
      <c r="B17" t="str">
        <v>1000538100_DVTM</v>
      </c>
      <c r="C17" t="str">
        <v>Kho DVTM Cụm Di Linh - Lâm Đồng</v>
      </c>
      <c r="D17" t="str">
        <v>LDG001</v>
      </c>
      <c r="E17" t="str">
        <v>CNKD_LDG_NHUYK</v>
      </c>
      <c r="F17" t="str">
        <v>CNKD_Ka Nhụy</v>
      </c>
      <c r="G17" t="str">
        <v>SENNT8_NVKDDB_LDG</v>
      </c>
      <c r="H17">
        <v>4</v>
      </c>
      <c r="I17">
        <v>7</v>
      </c>
      <c r="J17">
        <v>0</v>
      </c>
      <c r="K17">
        <v>5</v>
      </c>
      <c r="L17">
        <v>125</v>
      </c>
      <c r="M17">
        <v>71.43</v>
      </c>
      <c r="N17">
        <v>0</v>
      </c>
      <c r="O17">
        <v>100</v>
      </c>
      <c r="P17">
        <v>2</v>
      </c>
      <c r="Q17">
        <v>4</v>
      </c>
      <c r="R17">
        <v>0</v>
      </c>
      <c r="S17">
        <v>6</v>
      </c>
      <c r="T17">
        <v>262.5</v>
      </c>
      <c r="U17">
        <v>150</v>
      </c>
      <c r="V17">
        <v>0</v>
      </c>
      <c r="W17">
        <v>100</v>
      </c>
      <c r="X17">
        <v>2</v>
      </c>
      <c r="Y17">
        <v>3</v>
      </c>
      <c r="Z17">
        <v>0</v>
      </c>
      <c r="AA17">
        <v>1</v>
      </c>
      <c r="AB17">
        <v>58.33</v>
      </c>
      <c r="AC17">
        <v>33.33</v>
      </c>
      <c r="AD17">
        <v>0</v>
      </c>
      <c r="AE17">
        <v>100</v>
      </c>
      <c r="AF17">
        <v>2</v>
      </c>
      <c r="AG17">
        <v>4</v>
      </c>
      <c r="AH17">
        <v>0</v>
      </c>
      <c r="AI17">
        <v>1</v>
      </c>
      <c r="AJ17">
        <v>156.25</v>
      </c>
      <c r="AK17">
        <v>175</v>
      </c>
      <c r="AL17">
        <v>0</v>
      </c>
      <c r="AM17">
        <v>100</v>
      </c>
      <c r="AN17">
        <v>2</v>
      </c>
      <c r="AO17">
        <v>4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100</v>
      </c>
      <c r="AV17">
        <v>20</v>
      </c>
      <c r="AW17">
        <v>35</v>
      </c>
      <c r="AX17">
        <v>0</v>
      </c>
      <c r="AY17">
        <v>57</v>
      </c>
      <c r="AZ17">
        <v>285</v>
      </c>
      <c r="BA17">
        <v>162.86</v>
      </c>
      <c r="BB17">
        <v>0</v>
      </c>
      <c r="BC17">
        <v>100</v>
      </c>
      <c r="BD17">
        <v>3</v>
      </c>
      <c r="BE17">
        <v>5</v>
      </c>
      <c r="BF17">
        <v>1</v>
      </c>
      <c r="BG17">
        <v>6</v>
      </c>
      <c r="BH17">
        <v>210</v>
      </c>
      <c r="BI17">
        <v>120</v>
      </c>
      <c r="BJ17">
        <v>0</v>
      </c>
      <c r="BK17">
        <v>100</v>
      </c>
      <c r="BL17">
        <v>0</v>
      </c>
      <c r="BM17">
        <v>0</v>
      </c>
      <c r="BN17">
        <v>0</v>
      </c>
      <c r="BO17">
        <v>0</v>
      </c>
      <c r="BP17">
        <v>100</v>
      </c>
      <c r="BQ17">
        <v>100</v>
      </c>
      <c r="BR17">
        <v>0</v>
      </c>
      <c r="BS17">
        <v>100</v>
      </c>
      <c r="BT17">
        <v>1</v>
      </c>
      <c r="BU17">
        <v>1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100</v>
      </c>
      <c r="CB17">
        <v>5</v>
      </c>
      <c r="CC17">
        <v>8</v>
      </c>
      <c r="CD17">
        <v>0</v>
      </c>
      <c r="CE17">
        <v>11</v>
      </c>
      <c r="CF17">
        <v>240.63</v>
      </c>
      <c r="CG17">
        <v>137.5</v>
      </c>
      <c r="CH17">
        <v>0</v>
      </c>
      <c r="CI17">
        <v>100</v>
      </c>
      <c r="CJ17">
        <v>2</v>
      </c>
      <c r="CK17">
        <v>4</v>
      </c>
      <c r="CL17">
        <v>0</v>
      </c>
      <c r="CM17">
        <v>6</v>
      </c>
      <c r="CN17">
        <v>262.5</v>
      </c>
      <c r="CO17">
        <v>150</v>
      </c>
      <c r="CP17">
        <v>0</v>
      </c>
      <c r="CQ17">
        <v>100</v>
      </c>
      <c r="CR17">
        <v>2</v>
      </c>
      <c r="CS17">
        <v>4</v>
      </c>
      <c r="CT17">
        <v>0</v>
      </c>
      <c r="CU17">
        <v>5</v>
      </c>
      <c r="CV17">
        <v>218.75</v>
      </c>
      <c r="CW17">
        <v>125</v>
      </c>
      <c r="CX17">
        <v>0</v>
      </c>
      <c r="CY17">
        <v>100</v>
      </c>
      <c r="CZ17">
        <v>1</v>
      </c>
      <c r="DA17">
        <v>1</v>
      </c>
      <c r="DB17">
        <v>0</v>
      </c>
      <c r="DC17">
        <v>9</v>
      </c>
      <c r="DD17">
        <v>1575</v>
      </c>
      <c r="DE17">
        <v>900</v>
      </c>
      <c r="DF17">
        <v>0</v>
      </c>
      <c r="DG17">
        <v>100</v>
      </c>
    </row>
    <row r="18">
      <c r="A18" t="str">
        <v>LDG</v>
      </c>
      <c r="B18" t="str">
        <v>1000538100_DVTM</v>
      </c>
      <c r="C18" t="str">
        <v>Kho DVTM Cụm Di Linh - Lâm Đồng</v>
      </c>
      <c r="D18" t="str">
        <v>LDG001</v>
      </c>
      <c r="E18" t="str">
        <v>CNKD_LDG_PHUONGNTT1</v>
      </c>
      <c r="F18" t="str">
        <v>CNKD_Nguyễn Thị Thu Phượng</v>
      </c>
      <c r="G18" t="str">
        <v>SONTV10_NVKDDB_LDG</v>
      </c>
      <c r="H18">
        <v>4</v>
      </c>
      <c r="I18">
        <v>7</v>
      </c>
      <c r="J18">
        <v>0</v>
      </c>
      <c r="K18">
        <v>6</v>
      </c>
      <c r="L18">
        <v>150</v>
      </c>
      <c r="M18">
        <v>85.71</v>
      </c>
      <c r="N18">
        <v>0</v>
      </c>
      <c r="O18">
        <v>100</v>
      </c>
      <c r="P18">
        <v>2</v>
      </c>
      <c r="Q18">
        <v>4</v>
      </c>
      <c r="R18">
        <v>0</v>
      </c>
      <c r="S18">
        <v>9</v>
      </c>
      <c r="T18">
        <v>393.75</v>
      </c>
      <c r="U18">
        <v>225</v>
      </c>
      <c r="V18">
        <v>0</v>
      </c>
      <c r="W18">
        <v>100</v>
      </c>
      <c r="X18">
        <v>2</v>
      </c>
      <c r="Y18">
        <v>3</v>
      </c>
      <c r="Z18">
        <v>0</v>
      </c>
      <c r="AA18">
        <v>1</v>
      </c>
      <c r="AB18">
        <v>58.33</v>
      </c>
      <c r="AC18">
        <v>33.33</v>
      </c>
      <c r="AD18">
        <v>0</v>
      </c>
      <c r="AE18">
        <v>100</v>
      </c>
      <c r="AF18">
        <v>3</v>
      </c>
      <c r="AG18">
        <v>5</v>
      </c>
      <c r="AH18">
        <v>0</v>
      </c>
      <c r="AI18">
        <v>3</v>
      </c>
      <c r="AJ18">
        <v>95</v>
      </c>
      <c r="AK18">
        <v>140</v>
      </c>
      <c r="AL18">
        <v>0</v>
      </c>
      <c r="AM18">
        <v>100</v>
      </c>
      <c r="AN18">
        <v>2</v>
      </c>
      <c r="AO18">
        <v>4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100</v>
      </c>
      <c r="AV18">
        <v>17</v>
      </c>
      <c r="AW18">
        <v>30</v>
      </c>
      <c r="AX18">
        <v>0</v>
      </c>
      <c r="AY18">
        <v>54</v>
      </c>
      <c r="AZ18">
        <v>315</v>
      </c>
      <c r="BA18">
        <v>180</v>
      </c>
      <c r="BB18">
        <v>0</v>
      </c>
      <c r="BC18">
        <v>100</v>
      </c>
      <c r="BD18">
        <v>3</v>
      </c>
      <c r="BE18">
        <v>5</v>
      </c>
      <c r="BF18">
        <v>1</v>
      </c>
      <c r="BG18">
        <v>3</v>
      </c>
      <c r="BH18">
        <v>105</v>
      </c>
      <c r="BI18">
        <v>60</v>
      </c>
      <c r="BJ18">
        <v>0</v>
      </c>
      <c r="BK18">
        <v>100</v>
      </c>
      <c r="BL18">
        <v>0</v>
      </c>
      <c r="BM18">
        <v>0</v>
      </c>
      <c r="BN18">
        <v>0</v>
      </c>
      <c r="BO18">
        <v>2</v>
      </c>
      <c r="BP18">
        <v>100</v>
      </c>
      <c r="BQ18">
        <v>100</v>
      </c>
      <c r="BR18">
        <v>0</v>
      </c>
      <c r="BS18">
        <v>100</v>
      </c>
      <c r="BT18">
        <v>1</v>
      </c>
      <c r="BU18">
        <v>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100</v>
      </c>
      <c r="CB18">
        <v>5</v>
      </c>
      <c r="CC18">
        <v>8</v>
      </c>
      <c r="CD18">
        <v>0</v>
      </c>
      <c r="CE18">
        <v>8</v>
      </c>
      <c r="CF18">
        <v>175</v>
      </c>
      <c r="CG18">
        <v>100</v>
      </c>
      <c r="CH18">
        <v>0</v>
      </c>
      <c r="CI18">
        <v>100</v>
      </c>
      <c r="CJ18">
        <v>2</v>
      </c>
      <c r="CK18">
        <v>4</v>
      </c>
      <c r="CL18">
        <v>0</v>
      </c>
      <c r="CM18">
        <v>6</v>
      </c>
      <c r="CN18">
        <v>262.5</v>
      </c>
      <c r="CO18">
        <v>150</v>
      </c>
      <c r="CP18">
        <v>0</v>
      </c>
      <c r="CQ18">
        <v>100</v>
      </c>
      <c r="CR18">
        <v>2</v>
      </c>
      <c r="CS18">
        <v>4</v>
      </c>
      <c r="CT18">
        <v>0</v>
      </c>
      <c r="CU18">
        <v>5</v>
      </c>
      <c r="CV18">
        <v>218.75</v>
      </c>
      <c r="CW18">
        <v>125</v>
      </c>
      <c r="CX18">
        <v>0</v>
      </c>
      <c r="CY18">
        <v>100</v>
      </c>
      <c r="CZ18">
        <v>1</v>
      </c>
      <c r="DA18">
        <v>1</v>
      </c>
      <c r="DB18">
        <v>0</v>
      </c>
      <c r="DC18">
        <v>9</v>
      </c>
      <c r="DD18">
        <v>1575</v>
      </c>
      <c r="DE18">
        <v>900</v>
      </c>
      <c r="DF18">
        <v>0</v>
      </c>
      <c r="DG18">
        <v>100</v>
      </c>
    </row>
    <row r="19">
      <c r="A19" t="str">
        <v>LDG</v>
      </c>
      <c r="B19" t="str">
        <v>1000538100_DVTM</v>
      </c>
      <c r="C19" t="str">
        <v>Kho DVTM Cụm Di Linh - Lâm Đồng</v>
      </c>
      <c r="D19" t="str">
        <v>LDG001</v>
      </c>
      <c r="E19" t="str">
        <v>CNKD_LDG_SANGLT</v>
      </c>
      <c r="F19" t="str">
        <v>CNKD_Lê Thanh Sang</v>
      </c>
      <c r="G19" t="str">
        <v>VIETDQ9_NVKDDB_LDG</v>
      </c>
      <c r="H19">
        <v>5</v>
      </c>
      <c r="I19">
        <v>8</v>
      </c>
      <c r="J19">
        <v>0</v>
      </c>
      <c r="K19">
        <v>8</v>
      </c>
      <c r="L19">
        <v>175</v>
      </c>
      <c r="M19">
        <v>100</v>
      </c>
      <c r="N19">
        <v>0</v>
      </c>
      <c r="O19">
        <v>100</v>
      </c>
      <c r="P19">
        <v>2</v>
      </c>
      <c r="Q19">
        <v>4</v>
      </c>
      <c r="R19">
        <v>0</v>
      </c>
      <c r="S19">
        <v>2</v>
      </c>
      <c r="T19">
        <v>87.5</v>
      </c>
      <c r="U19">
        <v>50</v>
      </c>
      <c r="V19">
        <v>0</v>
      </c>
      <c r="W19">
        <v>100</v>
      </c>
      <c r="X19">
        <v>1</v>
      </c>
      <c r="Y19">
        <v>2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100</v>
      </c>
      <c r="AF19">
        <v>3</v>
      </c>
      <c r="AG19">
        <v>5</v>
      </c>
      <c r="AH19">
        <v>0</v>
      </c>
      <c r="AI19">
        <v>1</v>
      </c>
      <c r="AJ19">
        <v>165</v>
      </c>
      <c r="AK19">
        <v>180</v>
      </c>
      <c r="AL19">
        <v>0</v>
      </c>
      <c r="AM19">
        <v>100</v>
      </c>
      <c r="AN19">
        <v>2</v>
      </c>
      <c r="AO19">
        <v>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100</v>
      </c>
      <c r="AV19">
        <v>17</v>
      </c>
      <c r="AW19">
        <v>30</v>
      </c>
      <c r="AX19">
        <v>0</v>
      </c>
      <c r="AY19">
        <v>13</v>
      </c>
      <c r="AZ19">
        <v>75.83</v>
      </c>
      <c r="BA19">
        <v>43.33</v>
      </c>
      <c r="BB19">
        <v>0</v>
      </c>
      <c r="BC19">
        <v>100</v>
      </c>
      <c r="BD19">
        <v>3</v>
      </c>
      <c r="BE19">
        <v>5</v>
      </c>
      <c r="BF19">
        <v>0</v>
      </c>
      <c r="BG19">
        <v>1</v>
      </c>
      <c r="BH19">
        <v>35</v>
      </c>
      <c r="BI19">
        <v>20</v>
      </c>
      <c r="BJ19">
        <v>0</v>
      </c>
      <c r="BK19">
        <v>100</v>
      </c>
      <c r="BL19">
        <v>0</v>
      </c>
      <c r="BM19">
        <v>0</v>
      </c>
      <c r="BN19">
        <v>0</v>
      </c>
      <c r="BO19">
        <v>0</v>
      </c>
      <c r="BP19">
        <v>100</v>
      </c>
      <c r="BQ19">
        <v>100</v>
      </c>
      <c r="BR19">
        <v>0</v>
      </c>
      <c r="BS19">
        <v>100</v>
      </c>
      <c r="BT19">
        <v>1</v>
      </c>
      <c r="BU19">
        <v>1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100</v>
      </c>
      <c r="CB19">
        <v>5</v>
      </c>
      <c r="CC19">
        <v>9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100</v>
      </c>
      <c r="CJ19">
        <v>3</v>
      </c>
      <c r="CK19">
        <v>5</v>
      </c>
      <c r="CL19">
        <v>0</v>
      </c>
      <c r="CM19">
        <v>3</v>
      </c>
      <c r="CN19">
        <v>105</v>
      </c>
      <c r="CO19">
        <v>60</v>
      </c>
      <c r="CP19">
        <v>0</v>
      </c>
      <c r="CQ19">
        <v>100</v>
      </c>
      <c r="CR19">
        <v>2</v>
      </c>
      <c r="CS19">
        <v>3</v>
      </c>
      <c r="CT19">
        <v>0</v>
      </c>
      <c r="CU19">
        <v>1</v>
      </c>
      <c r="CV19">
        <v>58.33</v>
      </c>
      <c r="CW19">
        <v>33.33</v>
      </c>
      <c r="CX19">
        <v>0</v>
      </c>
      <c r="CY19">
        <v>100</v>
      </c>
      <c r="CZ19">
        <v>1</v>
      </c>
      <c r="DA19">
        <v>1</v>
      </c>
      <c r="DB19">
        <v>0</v>
      </c>
      <c r="DC19">
        <v>1</v>
      </c>
      <c r="DD19">
        <v>175</v>
      </c>
      <c r="DE19">
        <v>100</v>
      </c>
      <c r="DF19">
        <v>0</v>
      </c>
      <c r="DG19">
        <v>100</v>
      </c>
    </row>
    <row r="20">
      <c r="A20" t="str">
        <v>LDG</v>
      </c>
      <c r="B20" t="str">
        <v>1000538100_DVTM</v>
      </c>
      <c r="C20" t="str">
        <v>Kho DVTM Cụm Di Linh - Lâm Đồng</v>
      </c>
      <c r="D20" t="str">
        <v>LDG001</v>
      </c>
      <c r="E20" t="str">
        <v>CNKD_LDG_SANGTV</v>
      </c>
      <c r="F20" t="str">
        <v>CNKD_Trương Văn Sang</v>
      </c>
      <c r="G20" t="str">
        <v>SONTV10_NVKDDB_LDG</v>
      </c>
      <c r="H20">
        <v>4</v>
      </c>
      <c r="I20">
        <v>7</v>
      </c>
      <c r="J20">
        <v>0</v>
      </c>
      <c r="K20">
        <v>6</v>
      </c>
      <c r="L20">
        <v>150</v>
      </c>
      <c r="M20">
        <v>85.71</v>
      </c>
      <c r="N20">
        <v>0</v>
      </c>
      <c r="O20">
        <v>100</v>
      </c>
      <c r="P20">
        <v>2</v>
      </c>
      <c r="Q20">
        <v>4</v>
      </c>
      <c r="R20">
        <v>0</v>
      </c>
      <c r="S20">
        <v>5</v>
      </c>
      <c r="T20">
        <v>218.75</v>
      </c>
      <c r="U20">
        <v>125</v>
      </c>
      <c r="V20">
        <v>0</v>
      </c>
      <c r="W20">
        <v>100</v>
      </c>
      <c r="X20">
        <v>1</v>
      </c>
      <c r="Y20">
        <v>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100</v>
      </c>
      <c r="AF20">
        <v>2</v>
      </c>
      <c r="AG20">
        <v>4</v>
      </c>
      <c r="AH20">
        <v>0</v>
      </c>
      <c r="AI20">
        <v>0</v>
      </c>
      <c r="AJ20">
        <v>200</v>
      </c>
      <c r="AK20">
        <v>200</v>
      </c>
      <c r="AL20">
        <v>0</v>
      </c>
      <c r="AM20">
        <v>100</v>
      </c>
      <c r="AN20">
        <v>2</v>
      </c>
      <c r="AO20">
        <v>4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100</v>
      </c>
      <c r="AV20">
        <v>17</v>
      </c>
      <c r="AW20">
        <v>30</v>
      </c>
      <c r="AX20">
        <v>0</v>
      </c>
      <c r="AY20">
        <v>39</v>
      </c>
      <c r="AZ20">
        <v>227.5</v>
      </c>
      <c r="BA20">
        <v>130</v>
      </c>
      <c r="BB20">
        <v>0</v>
      </c>
      <c r="BC20">
        <v>100</v>
      </c>
      <c r="BD20">
        <v>3</v>
      </c>
      <c r="BE20">
        <v>5</v>
      </c>
      <c r="BF20">
        <v>1</v>
      </c>
      <c r="BG20">
        <v>2</v>
      </c>
      <c r="BH20">
        <v>70</v>
      </c>
      <c r="BI20">
        <v>40</v>
      </c>
      <c r="BJ20">
        <v>0</v>
      </c>
      <c r="BK20">
        <v>100</v>
      </c>
      <c r="BL20">
        <v>0</v>
      </c>
      <c r="BM20">
        <v>0</v>
      </c>
      <c r="BN20">
        <v>0</v>
      </c>
      <c r="BO20">
        <v>0</v>
      </c>
      <c r="BP20">
        <v>100</v>
      </c>
      <c r="BQ20">
        <v>100</v>
      </c>
      <c r="BR20">
        <v>0</v>
      </c>
      <c r="BS20">
        <v>100</v>
      </c>
      <c r="BT20">
        <v>1</v>
      </c>
      <c r="BU20">
        <v>1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100</v>
      </c>
      <c r="CB20">
        <v>5</v>
      </c>
      <c r="CC20">
        <v>8</v>
      </c>
      <c r="CD20">
        <v>0</v>
      </c>
      <c r="CE20">
        <v>3</v>
      </c>
      <c r="CF20">
        <v>65.63</v>
      </c>
      <c r="CG20">
        <v>37.5</v>
      </c>
      <c r="CH20">
        <v>0</v>
      </c>
      <c r="CI20">
        <v>100</v>
      </c>
      <c r="CJ20">
        <v>2</v>
      </c>
      <c r="CK20">
        <v>4</v>
      </c>
      <c r="CL20">
        <v>0</v>
      </c>
      <c r="CM20">
        <v>2</v>
      </c>
      <c r="CN20">
        <v>87.5</v>
      </c>
      <c r="CO20">
        <v>50</v>
      </c>
      <c r="CP20">
        <v>1</v>
      </c>
      <c r="CQ20">
        <v>100</v>
      </c>
      <c r="CR20">
        <v>2</v>
      </c>
      <c r="CS20">
        <v>4</v>
      </c>
      <c r="CT20">
        <v>0</v>
      </c>
      <c r="CU20">
        <v>4</v>
      </c>
      <c r="CV20">
        <v>175</v>
      </c>
      <c r="CW20">
        <v>100</v>
      </c>
      <c r="CX20">
        <v>0</v>
      </c>
      <c r="CY20">
        <v>100</v>
      </c>
      <c r="CZ20">
        <v>1</v>
      </c>
      <c r="DA20">
        <v>1</v>
      </c>
      <c r="DB20">
        <v>0</v>
      </c>
      <c r="DC20">
        <v>1</v>
      </c>
      <c r="DD20">
        <v>175</v>
      </c>
      <c r="DE20">
        <v>100</v>
      </c>
      <c r="DF20">
        <v>0</v>
      </c>
      <c r="DG20">
        <v>100</v>
      </c>
    </row>
    <row r="21">
      <c r="A21" t="str">
        <v>LDG</v>
      </c>
      <c r="B21" t="str">
        <v>1000538100_DVTM</v>
      </c>
      <c r="C21" t="str">
        <v>Kho DVTM Cụm Di Linh - Lâm Đồng</v>
      </c>
      <c r="D21" t="str">
        <v>LDG001</v>
      </c>
      <c r="E21" t="str">
        <v>CNKD_LDG_SONNH</v>
      </c>
      <c r="F21" t="str">
        <v>CNKD_Nguyễn Hồng Sơn</v>
      </c>
      <c r="G21" t="str">
        <v>SENNT8_NVKDDB_LDG</v>
      </c>
      <c r="H21">
        <v>3</v>
      </c>
      <c r="I21">
        <v>5</v>
      </c>
      <c r="J21">
        <v>0</v>
      </c>
      <c r="K21">
        <v>3</v>
      </c>
      <c r="L21">
        <v>105</v>
      </c>
      <c r="M21">
        <v>60</v>
      </c>
      <c r="N21">
        <v>1</v>
      </c>
      <c r="O21">
        <v>200</v>
      </c>
      <c r="P21">
        <v>2</v>
      </c>
      <c r="Q21">
        <v>3</v>
      </c>
      <c r="R21">
        <v>0</v>
      </c>
      <c r="S21">
        <v>3</v>
      </c>
      <c r="T21">
        <v>175</v>
      </c>
      <c r="U21">
        <v>100</v>
      </c>
      <c r="V21">
        <v>1</v>
      </c>
      <c r="W21">
        <v>200</v>
      </c>
      <c r="X21">
        <v>1</v>
      </c>
      <c r="Y21">
        <v>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100</v>
      </c>
      <c r="AF21">
        <v>2</v>
      </c>
      <c r="AG21">
        <v>3</v>
      </c>
      <c r="AH21">
        <v>0</v>
      </c>
      <c r="AI21">
        <v>1</v>
      </c>
      <c r="AJ21">
        <v>141.67</v>
      </c>
      <c r="AK21">
        <v>166.67</v>
      </c>
      <c r="AL21">
        <v>0</v>
      </c>
      <c r="AM21">
        <v>100</v>
      </c>
      <c r="AN21">
        <v>2</v>
      </c>
      <c r="AO21">
        <v>4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100</v>
      </c>
      <c r="AV21">
        <v>11</v>
      </c>
      <c r="AW21">
        <v>20</v>
      </c>
      <c r="AX21">
        <v>0</v>
      </c>
      <c r="AY21">
        <v>15</v>
      </c>
      <c r="AZ21">
        <v>131.25</v>
      </c>
      <c r="BA21">
        <v>75</v>
      </c>
      <c r="BB21">
        <v>0</v>
      </c>
      <c r="BC21">
        <v>100</v>
      </c>
      <c r="BD21">
        <v>3</v>
      </c>
      <c r="BE21">
        <v>5</v>
      </c>
      <c r="BF21">
        <v>1</v>
      </c>
      <c r="BG21">
        <v>1</v>
      </c>
      <c r="BH21">
        <v>35</v>
      </c>
      <c r="BI21">
        <v>20</v>
      </c>
      <c r="BJ21">
        <v>0</v>
      </c>
      <c r="BK21">
        <v>100</v>
      </c>
      <c r="BL21">
        <v>0</v>
      </c>
      <c r="BM21">
        <v>0</v>
      </c>
      <c r="BN21">
        <v>0</v>
      </c>
      <c r="BO21">
        <v>0</v>
      </c>
      <c r="BP21">
        <v>100</v>
      </c>
      <c r="BQ21">
        <v>100</v>
      </c>
      <c r="BR21">
        <v>0</v>
      </c>
      <c r="BS21">
        <v>100</v>
      </c>
      <c r="BT21">
        <v>1</v>
      </c>
      <c r="BU21">
        <v>1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100</v>
      </c>
      <c r="CB21">
        <v>5</v>
      </c>
      <c r="CC21">
        <v>8</v>
      </c>
      <c r="CD21">
        <v>0</v>
      </c>
      <c r="CE21">
        <v>1</v>
      </c>
      <c r="CF21">
        <v>21.88</v>
      </c>
      <c r="CG21">
        <v>12.5</v>
      </c>
      <c r="CH21">
        <v>0</v>
      </c>
      <c r="CI21">
        <v>100</v>
      </c>
      <c r="CJ21">
        <v>2</v>
      </c>
      <c r="CK21">
        <v>4</v>
      </c>
      <c r="CL21">
        <v>1</v>
      </c>
      <c r="CM21">
        <v>3</v>
      </c>
      <c r="CN21">
        <v>131.25</v>
      </c>
      <c r="CO21">
        <v>75</v>
      </c>
      <c r="CP21">
        <v>0</v>
      </c>
      <c r="CQ21">
        <v>100</v>
      </c>
      <c r="CR21">
        <v>2</v>
      </c>
      <c r="CS21">
        <v>3</v>
      </c>
      <c r="CT21">
        <v>0</v>
      </c>
      <c r="CU21">
        <v>2</v>
      </c>
      <c r="CV21">
        <v>116.67</v>
      </c>
      <c r="CW21">
        <v>66.67</v>
      </c>
      <c r="CX21">
        <v>0</v>
      </c>
      <c r="CY21">
        <v>100</v>
      </c>
      <c r="CZ21">
        <v>1</v>
      </c>
      <c r="DA21">
        <v>1</v>
      </c>
      <c r="DB21">
        <v>0</v>
      </c>
      <c r="DC21">
        <v>0</v>
      </c>
      <c r="DD21">
        <v>0</v>
      </c>
      <c r="DE21">
        <v>0</v>
      </c>
      <c r="DF21">
        <v>1</v>
      </c>
      <c r="DG21">
        <v>-100</v>
      </c>
    </row>
    <row r="22">
      <c r="A22" t="str">
        <v>LDG</v>
      </c>
      <c r="B22" t="str">
        <v>1000538100_DVTM</v>
      </c>
      <c r="C22" t="str">
        <v>Kho DVTM Cụm Di Linh - Lâm Đồng</v>
      </c>
      <c r="D22" t="str">
        <v>LDG001</v>
      </c>
      <c r="E22" t="str">
        <v>CNKD_LDG_TAMDT</v>
      </c>
      <c r="F22" t="str">
        <v>CNKD_Đặng Thị Tám</v>
      </c>
      <c r="G22" t="str">
        <v>VIETDQ9_NVKDDB_LDG</v>
      </c>
      <c r="H22">
        <v>5</v>
      </c>
      <c r="I22">
        <v>8</v>
      </c>
      <c r="J22">
        <v>0</v>
      </c>
      <c r="K22">
        <v>8</v>
      </c>
      <c r="L22">
        <v>175</v>
      </c>
      <c r="M22">
        <v>100</v>
      </c>
      <c r="N22">
        <v>0</v>
      </c>
      <c r="O22">
        <v>100</v>
      </c>
      <c r="P22">
        <v>2</v>
      </c>
      <c r="Q22">
        <v>4</v>
      </c>
      <c r="R22">
        <v>0</v>
      </c>
      <c r="S22">
        <v>6</v>
      </c>
      <c r="T22">
        <v>262.5</v>
      </c>
      <c r="U22">
        <v>150</v>
      </c>
      <c r="V22">
        <v>0</v>
      </c>
      <c r="W22">
        <v>100</v>
      </c>
      <c r="X22">
        <v>2</v>
      </c>
      <c r="Y22">
        <v>3</v>
      </c>
      <c r="Z22">
        <v>0</v>
      </c>
      <c r="AA22">
        <v>0</v>
      </c>
      <c r="AB22">
        <v>0</v>
      </c>
      <c r="AC22">
        <v>0</v>
      </c>
      <c r="AD22">
        <v>3</v>
      </c>
      <c r="AE22">
        <v>-100</v>
      </c>
      <c r="AF22">
        <v>3</v>
      </c>
      <c r="AG22">
        <v>5</v>
      </c>
      <c r="AH22">
        <v>0</v>
      </c>
      <c r="AI22">
        <v>0</v>
      </c>
      <c r="AJ22">
        <v>200</v>
      </c>
      <c r="AK22">
        <v>200</v>
      </c>
      <c r="AL22">
        <v>0</v>
      </c>
      <c r="AM22">
        <v>100</v>
      </c>
      <c r="AN22">
        <v>2</v>
      </c>
      <c r="AO22">
        <v>4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100</v>
      </c>
      <c r="AV22">
        <v>17</v>
      </c>
      <c r="AW22">
        <v>30</v>
      </c>
      <c r="AX22">
        <v>0</v>
      </c>
      <c r="AY22">
        <v>58</v>
      </c>
      <c r="AZ22">
        <v>338.33</v>
      </c>
      <c r="BA22">
        <v>193.33</v>
      </c>
      <c r="BB22">
        <v>0</v>
      </c>
      <c r="BC22">
        <v>100</v>
      </c>
      <c r="BD22">
        <v>3</v>
      </c>
      <c r="BE22">
        <v>5</v>
      </c>
      <c r="BF22">
        <v>0</v>
      </c>
      <c r="BG22">
        <v>3</v>
      </c>
      <c r="BH22">
        <v>105</v>
      </c>
      <c r="BI22">
        <v>60</v>
      </c>
      <c r="BJ22">
        <v>0</v>
      </c>
      <c r="BK22">
        <v>100</v>
      </c>
      <c r="BL22">
        <v>0</v>
      </c>
      <c r="BM22">
        <v>0</v>
      </c>
      <c r="BN22">
        <v>2</v>
      </c>
      <c r="BO22">
        <v>2</v>
      </c>
      <c r="BP22">
        <v>100</v>
      </c>
      <c r="BQ22">
        <v>100</v>
      </c>
      <c r="BR22">
        <v>0</v>
      </c>
      <c r="BS22">
        <v>100</v>
      </c>
      <c r="BT22">
        <v>1</v>
      </c>
      <c r="BU22">
        <v>1</v>
      </c>
      <c r="BV22">
        <v>0</v>
      </c>
      <c r="BW22">
        <v>2</v>
      </c>
      <c r="BX22">
        <v>350</v>
      </c>
      <c r="BY22">
        <v>200</v>
      </c>
      <c r="BZ22">
        <v>0</v>
      </c>
      <c r="CA22">
        <v>100</v>
      </c>
      <c r="CB22">
        <v>5</v>
      </c>
      <c r="CC22">
        <v>9</v>
      </c>
      <c r="CD22">
        <v>0</v>
      </c>
      <c r="CE22">
        <v>11</v>
      </c>
      <c r="CF22">
        <v>213.89</v>
      </c>
      <c r="CG22">
        <v>122.22</v>
      </c>
      <c r="CH22">
        <v>0</v>
      </c>
      <c r="CI22">
        <v>100</v>
      </c>
      <c r="CJ22">
        <v>3</v>
      </c>
      <c r="CK22">
        <v>5</v>
      </c>
      <c r="CL22">
        <v>0</v>
      </c>
      <c r="CM22">
        <v>3</v>
      </c>
      <c r="CN22">
        <v>105</v>
      </c>
      <c r="CO22">
        <v>60</v>
      </c>
      <c r="CP22">
        <v>0</v>
      </c>
      <c r="CQ22">
        <v>100</v>
      </c>
      <c r="CR22">
        <v>2</v>
      </c>
      <c r="CS22">
        <v>4</v>
      </c>
      <c r="CT22">
        <v>0</v>
      </c>
      <c r="CU22">
        <v>4</v>
      </c>
      <c r="CV22">
        <v>175</v>
      </c>
      <c r="CW22">
        <v>100</v>
      </c>
      <c r="CX22">
        <v>0</v>
      </c>
      <c r="CY22">
        <v>100</v>
      </c>
      <c r="CZ22">
        <v>1</v>
      </c>
      <c r="DA22">
        <v>1</v>
      </c>
      <c r="DB22">
        <v>0</v>
      </c>
      <c r="DC22">
        <v>1</v>
      </c>
      <c r="DD22">
        <v>175</v>
      </c>
      <c r="DE22">
        <v>100</v>
      </c>
      <c r="DF22">
        <v>0</v>
      </c>
      <c r="DG22">
        <v>100</v>
      </c>
    </row>
    <row r="23">
      <c r="A23" t="str">
        <v>LDG</v>
      </c>
      <c r="B23" t="str">
        <v>1000538100_DVTM</v>
      </c>
      <c r="C23" t="str">
        <v>Kho DVTM Cụm Di Linh - Lâm Đồng</v>
      </c>
      <c r="D23" t="str">
        <v>LDG001</v>
      </c>
      <c r="E23" t="str">
        <v>CNKD_LDG_THUONGNTH</v>
      </c>
      <c r="F23" t="str">
        <v>CNKD_Nguyễn Thị Huyền Thương</v>
      </c>
      <c r="G23" t="str">
        <v>SONTV10_NVKDDB_LDG</v>
      </c>
      <c r="H23">
        <v>4</v>
      </c>
      <c r="I23">
        <v>7</v>
      </c>
      <c r="J23">
        <v>0</v>
      </c>
      <c r="K23">
        <v>11</v>
      </c>
      <c r="L23">
        <v>275</v>
      </c>
      <c r="M23">
        <v>157.14</v>
      </c>
      <c r="N23">
        <v>0</v>
      </c>
      <c r="O23">
        <v>100</v>
      </c>
      <c r="P23">
        <v>2</v>
      </c>
      <c r="Q23">
        <v>4</v>
      </c>
      <c r="R23">
        <v>1</v>
      </c>
      <c r="S23">
        <v>5</v>
      </c>
      <c r="T23">
        <v>218.75</v>
      </c>
      <c r="U23">
        <v>125</v>
      </c>
      <c r="V23">
        <v>0</v>
      </c>
      <c r="W23">
        <v>100</v>
      </c>
      <c r="X23">
        <v>2</v>
      </c>
      <c r="Y23">
        <v>3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100</v>
      </c>
      <c r="AF23">
        <v>3</v>
      </c>
      <c r="AG23">
        <v>5</v>
      </c>
      <c r="AH23">
        <v>0</v>
      </c>
      <c r="AI23">
        <v>0</v>
      </c>
      <c r="AJ23">
        <v>200</v>
      </c>
      <c r="AK23">
        <v>200</v>
      </c>
      <c r="AL23">
        <v>1</v>
      </c>
      <c r="AM23">
        <v>-100</v>
      </c>
      <c r="AN23">
        <v>2</v>
      </c>
      <c r="AO23">
        <v>4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100</v>
      </c>
      <c r="AV23">
        <v>34</v>
      </c>
      <c r="AW23">
        <v>60</v>
      </c>
      <c r="AX23">
        <v>0</v>
      </c>
      <c r="AY23">
        <v>170</v>
      </c>
      <c r="AZ23">
        <v>495.83</v>
      </c>
      <c r="BA23">
        <v>283.33</v>
      </c>
      <c r="BB23">
        <v>0</v>
      </c>
      <c r="BC23">
        <v>100</v>
      </c>
      <c r="BD23">
        <v>3</v>
      </c>
      <c r="BE23">
        <v>5</v>
      </c>
      <c r="BF23">
        <v>1</v>
      </c>
      <c r="BG23">
        <v>4</v>
      </c>
      <c r="BH23">
        <v>140</v>
      </c>
      <c r="BI23">
        <v>80</v>
      </c>
      <c r="BJ23">
        <v>0</v>
      </c>
      <c r="BK23">
        <v>100</v>
      </c>
      <c r="BL23">
        <v>0</v>
      </c>
      <c r="BM23">
        <v>0</v>
      </c>
      <c r="BN23">
        <v>0</v>
      </c>
      <c r="BO23">
        <v>2</v>
      </c>
      <c r="BP23">
        <v>100</v>
      </c>
      <c r="BQ23">
        <v>100</v>
      </c>
      <c r="BR23">
        <v>0</v>
      </c>
      <c r="BS23">
        <v>100</v>
      </c>
      <c r="BT23">
        <v>1</v>
      </c>
      <c r="BU23">
        <v>1</v>
      </c>
      <c r="BV23">
        <v>0</v>
      </c>
      <c r="BW23">
        <v>1</v>
      </c>
      <c r="BX23">
        <v>175</v>
      </c>
      <c r="BY23">
        <v>100</v>
      </c>
      <c r="BZ23">
        <v>0</v>
      </c>
      <c r="CA23">
        <v>100</v>
      </c>
      <c r="CB23">
        <v>5</v>
      </c>
      <c r="CC23">
        <v>8</v>
      </c>
      <c r="CD23">
        <v>0</v>
      </c>
      <c r="CE23">
        <v>21</v>
      </c>
      <c r="CF23">
        <v>459.38</v>
      </c>
      <c r="CG23">
        <v>262.5</v>
      </c>
      <c r="CH23">
        <v>0</v>
      </c>
      <c r="CI23">
        <v>100</v>
      </c>
      <c r="CJ23">
        <v>2</v>
      </c>
      <c r="CK23">
        <v>4</v>
      </c>
      <c r="CL23">
        <v>0</v>
      </c>
      <c r="CM23">
        <v>5</v>
      </c>
      <c r="CN23">
        <v>218.75</v>
      </c>
      <c r="CO23">
        <v>125</v>
      </c>
      <c r="CP23">
        <v>0</v>
      </c>
      <c r="CQ23">
        <v>100</v>
      </c>
      <c r="CR23">
        <v>2</v>
      </c>
      <c r="CS23">
        <v>4</v>
      </c>
      <c r="CT23">
        <v>0</v>
      </c>
      <c r="CU23">
        <v>7</v>
      </c>
      <c r="CV23">
        <v>306.25</v>
      </c>
      <c r="CW23">
        <v>175</v>
      </c>
      <c r="CX23">
        <v>0</v>
      </c>
      <c r="CY23">
        <v>100</v>
      </c>
      <c r="CZ23">
        <v>1</v>
      </c>
      <c r="DA23">
        <v>1</v>
      </c>
      <c r="DB23">
        <v>0</v>
      </c>
      <c r="DC23">
        <v>20</v>
      </c>
      <c r="DD23">
        <v>3500</v>
      </c>
      <c r="DE23">
        <v>2000</v>
      </c>
      <c r="DF23">
        <v>1</v>
      </c>
      <c r="DG23">
        <v>1900</v>
      </c>
    </row>
    <row r="24">
      <c r="A24" t="str">
        <v>LDG</v>
      </c>
      <c r="B24" t="str">
        <v>1000538100_DVTM</v>
      </c>
      <c r="C24" t="str">
        <v>Kho DVTM Cụm Di Linh - Lâm Đồng</v>
      </c>
      <c r="D24" t="str">
        <v>LDG001</v>
      </c>
      <c r="E24" t="str">
        <v>CNKD_LDG_VANVV</v>
      </c>
      <c r="F24" t="str">
        <v>CNKD_Vòng Vĩnh Vân</v>
      </c>
      <c r="G24" t="str">
        <v>SENNT8_NVKDDB_LDG</v>
      </c>
      <c r="H24">
        <v>2</v>
      </c>
      <c r="I24">
        <v>3</v>
      </c>
      <c r="J24">
        <v>0</v>
      </c>
      <c r="K24">
        <v>4</v>
      </c>
      <c r="L24">
        <v>233.33</v>
      </c>
      <c r="M24">
        <v>133.33</v>
      </c>
      <c r="N24">
        <v>0</v>
      </c>
      <c r="O24">
        <v>100</v>
      </c>
      <c r="P24">
        <v>1</v>
      </c>
      <c r="Q24">
        <v>2</v>
      </c>
      <c r="R24">
        <v>0</v>
      </c>
      <c r="S24">
        <v>0</v>
      </c>
      <c r="T24">
        <v>0</v>
      </c>
      <c r="U24">
        <v>0</v>
      </c>
      <c r="V24">
        <v>0</v>
      </c>
      <c r="W24">
        <v>100</v>
      </c>
      <c r="X24">
        <v>1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100</v>
      </c>
      <c r="AF24">
        <v>2</v>
      </c>
      <c r="AG24">
        <v>3</v>
      </c>
      <c r="AH24">
        <v>0</v>
      </c>
      <c r="AI24">
        <v>0</v>
      </c>
      <c r="AJ24">
        <v>200</v>
      </c>
      <c r="AK24">
        <v>200</v>
      </c>
      <c r="AL24">
        <v>3</v>
      </c>
      <c r="AM24">
        <v>-100</v>
      </c>
      <c r="AN24">
        <v>2</v>
      </c>
      <c r="AO24">
        <v>3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100</v>
      </c>
      <c r="AV24">
        <v>8</v>
      </c>
      <c r="AW24">
        <v>14</v>
      </c>
      <c r="AX24">
        <v>0</v>
      </c>
      <c r="AY24">
        <v>3</v>
      </c>
      <c r="AZ24">
        <v>37.5</v>
      </c>
      <c r="BA24">
        <v>21.43</v>
      </c>
      <c r="BB24">
        <v>0</v>
      </c>
      <c r="BC24">
        <v>100</v>
      </c>
      <c r="BD24">
        <v>1</v>
      </c>
      <c r="BE24">
        <v>2</v>
      </c>
      <c r="BF24">
        <v>1</v>
      </c>
      <c r="BG24">
        <v>2</v>
      </c>
      <c r="BH24">
        <v>175</v>
      </c>
      <c r="BI24">
        <v>100</v>
      </c>
      <c r="BJ24">
        <v>0</v>
      </c>
      <c r="BK24">
        <v>100</v>
      </c>
      <c r="BL24">
        <v>0</v>
      </c>
      <c r="BM24">
        <v>0</v>
      </c>
      <c r="BN24">
        <v>0</v>
      </c>
      <c r="BO24">
        <v>0</v>
      </c>
      <c r="BP24">
        <v>100</v>
      </c>
      <c r="BQ24">
        <v>100</v>
      </c>
      <c r="BR24">
        <v>0</v>
      </c>
      <c r="BS24">
        <v>100</v>
      </c>
      <c r="BT24">
        <v>1</v>
      </c>
      <c r="BU24">
        <v>1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100</v>
      </c>
      <c r="CB24">
        <v>3</v>
      </c>
      <c r="CC24">
        <v>5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100</v>
      </c>
      <c r="CJ24">
        <v>2</v>
      </c>
      <c r="CK24">
        <v>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100</v>
      </c>
      <c r="CR24">
        <v>2</v>
      </c>
      <c r="CS24">
        <v>3</v>
      </c>
      <c r="CT24">
        <v>0</v>
      </c>
      <c r="CU24">
        <v>2</v>
      </c>
      <c r="CV24">
        <v>116.67</v>
      </c>
      <c r="CW24">
        <v>66.67</v>
      </c>
      <c r="CX24">
        <v>0</v>
      </c>
      <c r="CY24">
        <v>100</v>
      </c>
      <c r="CZ24">
        <v>1</v>
      </c>
      <c r="DA24">
        <v>1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100</v>
      </c>
    </row>
    <row r="25">
      <c r="A25" t="str">
        <v>LDG</v>
      </c>
      <c r="B25" t="str">
        <v>1000538100_DVTM</v>
      </c>
      <c r="C25" t="str">
        <v>Kho DVTM Cụm Di Linh - Lâm Đồng</v>
      </c>
      <c r="D25" t="str">
        <v>LDG030</v>
      </c>
      <c r="E25" t="str">
        <v>1000538100_DVTM</v>
      </c>
      <c r="F25" t="str">
        <v>Kho DVTM Cụm Di Linh - Lâm Đồng</v>
      </c>
      <c r="G25" t="str">
        <v>VIETDQ9_NVKDDB_LDG</v>
      </c>
      <c r="AV25">
        <v>777</v>
      </c>
      <c r="AW25">
        <v>1360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100</v>
      </c>
      <c r="BT25">
        <v>3</v>
      </c>
      <c r="BU25">
        <v>6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100</v>
      </c>
      <c r="CB25">
        <v>69</v>
      </c>
      <c r="CC25">
        <v>120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100</v>
      </c>
      <c r="CZ25">
        <v>147</v>
      </c>
      <c r="DA25">
        <v>257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100</v>
      </c>
    </row>
    <row r="26">
      <c r="A26" t="str">
        <v>LDG</v>
      </c>
      <c r="B26" t="str">
        <v>1000538100_DVTM</v>
      </c>
      <c r="C26" t="str">
        <v>Kho DVTM Cụm Di Linh - Lâm Đồng</v>
      </c>
      <c r="D26" t="str">
        <v>LDG030</v>
      </c>
      <c r="E26" t="str">
        <v>CNKD_LDG_DANVTN</v>
      </c>
      <c r="F26" t="str">
        <v>CNKD_Vũ Thị Ngọc Đan</v>
      </c>
      <c r="G26" t="str">
        <v>SONTV10_NVKDDB_LDG</v>
      </c>
      <c r="X26">
        <v>0</v>
      </c>
      <c r="Y26">
        <v>0</v>
      </c>
      <c r="Z26">
        <v>0</v>
      </c>
      <c r="AA26">
        <v>1</v>
      </c>
      <c r="AB26">
        <v>100</v>
      </c>
      <c r="AC26">
        <v>100</v>
      </c>
      <c r="AD26">
        <v>1</v>
      </c>
      <c r="AE26">
        <v>0</v>
      </c>
    </row>
    <row r="27">
      <c r="A27" t="str">
        <v>LDG</v>
      </c>
      <c r="B27" t="str">
        <v>1000538100_DVTM</v>
      </c>
      <c r="C27" t="str">
        <v>Kho DVTM Cụm Di Linh - Lâm Đồng</v>
      </c>
      <c r="D27" t="str">
        <v>LDG030</v>
      </c>
      <c r="E27" t="str">
        <v>CNKD_LDG_HOPVQ</v>
      </c>
      <c r="F27" t="str">
        <v>CNKD_Văn Quý Hợp</v>
      </c>
      <c r="G27" t="str">
        <v>SENNT8_NVKDDB_LDG</v>
      </c>
      <c r="H27">
        <v>2</v>
      </c>
      <c r="I27">
        <v>4</v>
      </c>
      <c r="J27">
        <v>0</v>
      </c>
      <c r="K27">
        <v>3</v>
      </c>
      <c r="L27">
        <v>131.25</v>
      </c>
      <c r="M27">
        <v>75</v>
      </c>
      <c r="N27">
        <v>2</v>
      </c>
      <c r="O27">
        <v>50</v>
      </c>
      <c r="P27">
        <v>1</v>
      </c>
      <c r="Q27">
        <v>2</v>
      </c>
      <c r="R27">
        <v>0</v>
      </c>
      <c r="S27">
        <v>4</v>
      </c>
      <c r="T27">
        <v>350</v>
      </c>
      <c r="U27">
        <v>200</v>
      </c>
      <c r="V27">
        <v>0</v>
      </c>
      <c r="W27">
        <v>100</v>
      </c>
      <c r="X27">
        <v>1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100</v>
      </c>
      <c r="AF27">
        <v>1</v>
      </c>
      <c r="AG27">
        <v>2</v>
      </c>
      <c r="AH27">
        <v>0</v>
      </c>
      <c r="AI27">
        <v>1</v>
      </c>
      <c r="AJ27">
        <v>112.5</v>
      </c>
      <c r="AK27">
        <v>150</v>
      </c>
      <c r="AL27">
        <v>0</v>
      </c>
      <c r="AM27">
        <v>100</v>
      </c>
      <c r="AN27">
        <v>2</v>
      </c>
      <c r="AO27">
        <v>3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100</v>
      </c>
      <c r="AV27">
        <v>12</v>
      </c>
      <c r="AW27">
        <v>21</v>
      </c>
      <c r="AX27">
        <v>0</v>
      </c>
      <c r="AY27">
        <v>30</v>
      </c>
      <c r="AZ27">
        <v>250</v>
      </c>
      <c r="BA27">
        <v>142.86</v>
      </c>
      <c r="BB27">
        <v>0</v>
      </c>
      <c r="BC27">
        <v>100</v>
      </c>
      <c r="BD27">
        <v>2</v>
      </c>
      <c r="BE27">
        <v>3</v>
      </c>
      <c r="BF27">
        <v>1</v>
      </c>
      <c r="BG27">
        <v>1</v>
      </c>
      <c r="BH27">
        <v>58.33</v>
      </c>
      <c r="BI27">
        <v>33.33</v>
      </c>
      <c r="BJ27">
        <v>1</v>
      </c>
      <c r="BK27">
        <v>0</v>
      </c>
      <c r="BL27">
        <v>0</v>
      </c>
      <c r="BM27">
        <v>0</v>
      </c>
      <c r="BN27">
        <v>0</v>
      </c>
      <c r="BO27">
        <v>2</v>
      </c>
      <c r="BP27">
        <v>100</v>
      </c>
      <c r="BQ27">
        <v>100</v>
      </c>
      <c r="BR27">
        <v>0</v>
      </c>
      <c r="BS27">
        <v>100</v>
      </c>
      <c r="BT27">
        <v>1</v>
      </c>
      <c r="BU27">
        <v>1</v>
      </c>
      <c r="BV27">
        <v>0</v>
      </c>
      <c r="BW27">
        <v>1</v>
      </c>
      <c r="BX27">
        <v>175</v>
      </c>
      <c r="BY27">
        <v>100</v>
      </c>
      <c r="BZ27">
        <v>0</v>
      </c>
      <c r="CA27">
        <v>100</v>
      </c>
      <c r="CB27">
        <v>3</v>
      </c>
      <c r="CC27">
        <v>6</v>
      </c>
      <c r="CD27">
        <v>0</v>
      </c>
      <c r="CE27">
        <v>6</v>
      </c>
      <c r="CF27">
        <v>175</v>
      </c>
      <c r="CG27">
        <v>100</v>
      </c>
      <c r="CH27">
        <v>0</v>
      </c>
      <c r="CI27">
        <v>100</v>
      </c>
      <c r="CJ27">
        <v>2</v>
      </c>
      <c r="CK27">
        <v>3</v>
      </c>
      <c r="CL27">
        <v>0</v>
      </c>
      <c r="CM27">
        <v>2</v>
      </c>
      <c r="CN27">
        <v>116.67</v>
      </c>
      <c r="CO27">
        <v>66.67</v>
      </c>
      <c r="CP27">
        <v>0</v>
      </c>
      <c r="CQ27">
        <v>100</v>
      </c>
      <c r="CR27">
        <v>2</v>
      </c>
      <c r="CS27">
        <v>3</v>
      </c>
      <c r="CT27">
        <v>0</v>
      </c>
      <c r="CU27">
        <v>1</v>
      </c>
      <c r="CV27">
        <v>58.33</v>
      </c>
      <c r="CW27">
        <v>33.33</v>
      </c>
      <c r="CX27">
        <v>0</v>
      </c>
      <c r="CY27">
        <v>100</v>
      </c>
      <c r="CZ27">
        <v>1</v>
      </c>
      <c r="DA27">
        <v>1</v>
      </c>
      <c r="DB27">
        <v>0</v>
      </c>
      <c r="DC27">
        <v>3</v>
      </c>
      <c r="DD27">
        <v>525</v>
      </c>
      <c r="DE27">
        <v>300</v>
      </c>
      <c r="DF27">
        <v>0</v>
      </c>
      <c r="DG27">
        <v>100</v>
      </c>
    </row>
    <row r="28">
      <c r="A28" t="str">
        <v>LDG</v>
      </c>
      <c r="B28" t="str">
        <v>1000538100_DVTM</v>
      </c>
      <c r="C28" t="str">
        <v>Kho DVTM Cụm Di Linh - Lâm Đồng</v>
      </c>
      <c r="D28" t="str">
        <v>LDG032</v>
      </c>
      <c r="E28" t="str">
        <v>CNKD_LDG_ANLT</v>
      </c>
      <c r="F28" t="str">
        <v>CNKD_Lê Trọng An</v>
      </c>
      <c r="G28" t="str">
        <v>VIETDQ9_NVKDDB_LDG</v>
      </c>
      <c r="H28">
        <v>5</v>
      </c>
      <c r="I28">
        <v>8</v>
      </c>
      <c r="J28">
        <v>0</v>
      </c>
      <c r="K28">
        <v>7</v>
      </c>
      <c r="L28">
        <v>153.13</v>
      </c>
      <c r="M28">
        <v>87.5</v>
      </c>
      <c r="N28">
        <v>0</v>
      </c>
      <c r="O28">
        <v>100</v>
      </c>
      <c r="P28">
        <v>2</v>
      </c>
      <c r="Q28">
        <v>4</v>
      </c>
      <c r="R28">
        <v>0</v>
      </c>
      <c r="S28">
        <v>6</v>
      </c>
      <c r="T28">
        <v>262.5</v>
      </c>
      <c r="U28">
        <v>150</v>
      </c>
      <c r="V28">
        <v>0</v>
      </c>
      <c r="W28">
        <v>100</v>
      </c>
      <c r="X28">
        <v>1</v>
      </c>
      <c r="Y28">
        <v>2</v>
      </c>
      <c r="Z28">
        <v>0</v>
      </c>
      <c r="AA28">
        <v>0</v>
      </c>
      <c r="AB28">
        <v>0</v>
      </c>
      <c r="AC28">
        <v>0</v>
      </c>
      <c r="AD28">
        <v>1</v>
      </c>
      <c r="AE28">
        <v>-100</v>
      </c>
      <c r="AF28">
        <v>3</v>
      </c>
      <c r="AG28">
        <v>5</v>
      </c>
      <c r="AH28">
        <v>0</v>
      </c>
      <c r="AI28">
        <v>0</v>
      </c>
      <c r="AJ28">
        <v>200</v>
      </c>
      <c r="AK28">
        <v>200</v>
      </c>
      <c r="AL28">
        <v>0</v>
      </c>
      <c r="AM28">
        <v>100</v>
      </c>
      <c r="AN28">
        <v>2</v>
      </c>
      <c r="AO28">
        <v>4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100</v>
      </c>
      <c r="AV28">
        <v>17</v>
      </c>
      <c r="AW28">
        <v>30</v>
      </c>
      <c r="AX28">
        <v>0</v>
      </c>
      <c r="AY28">
        <v>21</v>
      </c>
      <c r="AZ28">
        <v>122.5</v>
      </c>
      <c r="BA28">
        <v>70</v>
      </c>
      <c r="BB28">
        <v>0</v>
      </c>
      <c r="BC28">
        <v>100</v>
      </c>
      <c r="BD28">
        <v>3</v>
      </c>
      <c r="BE28">
        <v>5</v>
      </c>
      <c r="BF28">
        <v>1</v>
      </c>
      <c r="BG28">
        <v>5</v>
      </c>
      <c r="BH28">
        <v>175</v>
      </c>
      <c r="BI28">
        <v>100</v>
      </c>
      <c r="BJ28">
        <v>0</v>
      </c>
      <c r="BK28">
        <v>100</v>
      </c>
      <c r="BL28">
        <v>0</v>
      </c>
      <c r="BM28">
        <v>0</v>
      </c>
      <c r="BN28">
        <v>0</v>
      </c>
      <c r="BO28">
        <v>0</v>
      </c>
      <c r="BP28">
        <v>100</v>
      </c>
      <c r="BQ28">
        <v>100</v>
      </c>
      <c r="BR28">
        <v>0</v>
      </c>
      <c r="BS28">
        <v>100</v>
      </c>
      <c r="BT28">
        <v>1</v>
      </c>
      <c r="BU28">
        <v>1</v>
      </c>
      <c r="BV28">
        <v>0</v>
      </c>
      <c r="BW28">
        <v>1</v>
      </c>
      <c r="BX28">
        <v>175</v>
      </c>
      <c r="BY28">
        <v>100</v>
      </c>
      <c r="BZ28">
        <v>0</v>
      </c>
      <c r="CA28">
        <v>100</v>
      </c>
      <c r="CB28">
        <v>5</v>
      </c>
      <c r="CC28">
        <v>9</v>
      </c>
      <c r="CD28">
        <v>0</v>
      </c>
      <c r="CE28">
        <v>12</v>
      </c>
      <c r="CF28">
        <v>233.33</v>
      </c>
      <c r="CG28">
        <v>133.33</v>
      </c>
      <c r="CH28">
        <v>0</v>
      </c>
      <c r="CI28">
        <v>100</v>
      </c>
      <c r="CJ28">
        <v>3</v>
      </c>
      <c r="CK28">
        <v>5</v>
      </c>
      <c r="CL28">
        <v>0</v>
      </c>
      <c r="CM28">
        <v>6</v>
      </c>
      <c r="CN28">
        <v>210</v>
      </c>
      <c r="CO28">
        <v>120</v>
      </c>
      <c r="CP28">
        <v>0</v>
      </c>
      <c r="CQ28">
        <v>100</v>
      </c>
      <c r="CR28">
        <v>2</v>
      </c>
      <c r="CS28">
        <v>4</v>
      </c>
      <c r="CT28">
        <v>0</v>
      </c>
      <c r="CU28">
        <v>4</v>
      </c>
      <c r="CV28">
        <v>175</v>
      </c>
      <c r="CW28">
        <v>100</v>
      </c>
      <c r="CX28">
        <v>0</v>
      </c>
      <c r="CY28">
        <v>100</v>
      </c>
      <c r="CZ28">
        <v>1</v>
      </c>
      <c r="DA28">
        <v>1</v>
      </c>
      <c r="DB28">
        <v>0</v>
      </c>
      <c r="DC28">
        <v>1</v>
      </c>
      <c r="DD28">
        <v>175</v>
      </c>
      <c r="DE28">
        <v>100</v>
      </c>
      <c r="DF28">
        <v>0</v>
      </c>
      <c r="DG28">
        <v>100</v>
      </c>
    </row>
    <row r="29">
      <c r="A29" t="str">
        <v>LDG</v>
      </c>
      <c r="B29" t="str">
        <v>1000538100_DVTM</v>
      </c>
      <c r="C29" t="str">
        <v>Kho DVTM Cụm Di Linh - Lâm Đồng</v>
      </c>
      <c r="D29" t="str">
        <v>LDG036</v>
      </c>
      <c r="E29" t="str">
        <v>CNKD_LDG_MAITTN</v>
      </c>
      <c r="F29" t="str">
        <v>CNKD_Trần Thị Ngọc Mai</v>
      </c>
      <c r="G29" t="str">
        <v>SENNT8_NVKDDB_LDG</v>
      </c>
      <c r="H29">
        <v>2</v>
      </c>
      <c r="I29">
        <v>3</v>
      </c>
      <c r="J29">
        <v>0</v>
      </c>
      <c r="K29">
        <v>2</v>
      </c>
      <c r="L29">
        <v>116.67</v>
      </c>
      <c r="M29">
        <v>66.67</v>
      </c>
      <c r="N29">
        <v>0</v>
      </c>
      <c r="O29">
        <v>100</v>
      </c>
      <c r="P29">
        <v>1</v>
      </c>
      <c r="Q29">
        <v>2</v>
      </c>
      <c r="R29">
        <v>0</v>
      </c>
      <c r="S29">
        <v>2</v>
      </c>
      <c r="T29">
        <v>175</v>
      </c>
      <c r="U29">
        <v>100</v>
      </c>
      <c r="V29">
        <v>0</v>
      </c>
      <c r="W29">
        <v>100</v>
      </c>
      <c r="X29">
        <v>1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100</v>
      </c>
      <c r="AF29">
        <v>1</v>
      </c>
      <c r="AG29">
        <v>2</v>
      </c>
      <c r="AH29">
        <v>0</v>
      </c>
      <c r="AI29">
        <v>0</v>
      </c>
      <c r="AJ29">
        <v>200</v>
      </c>
      <c r="AK29">
        <v>200</v>
      </c>
      <c r="AL29">
        <v>0</v>
      </c>
      <c r="AM29">
        <v>100</v>
      </c>
      <c r="AN29">
        <v>2</v>
      </c>
      <c r="AO29">
        <v>3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100</v>
      </c>
      <c r="AV29">
        <v>8</v>
      </c>
      <c r="AW29">
        <v>14</v>
      </c>
      <c r="AX29">
        <v>0</v>
      </c>
      <c r="AY29">
        <v>13</v>
      </c>
      <c r="AZ29">
        <v>162.5</v>
      </c>
      <c r="BA29">
        <v>92.86</v>
      </c>
      <c r="BB29">
        <v>0</v>
      </c>
      <c r="BC29">
        <v>100</v>
      </c>
      <c r="BD29">
        <v>1</v>
      </c>
      <c r="BE29">
        <v>2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100</v>
      </c>
      <c r="BL29">
        <v>0</v>
      </c>
      <c r="BM29">
        <v>0</v>
      </c>
      <c r="BN29">
        <v>0</v>
      </c>
      <c r="BO29">
        <v>0</v>
      </c>
      <c r="BP29">
        <v>100</v>
      </c>
      <c r="BQ29">
        <v>100</v>
      </c>
      <c r="BR29">
        <v>0</v>
      </c>
      <c r="BS29">
        <v>100</v>
      </c>
      <c r="BT29">
        <v>1</v>
      </c>
      <c r="BU29">
        <v>1</v>
      </c>
      <c r="BV29">
        <v>0</v>
      </c>
      <c r="BW29">
        <v>0</v>
      </c>
      <c r="BX29">
        <v>0</v>
      </c>
      <c r="BY29">
        <v>0</v>
      </c>
      <c r="BZ29">
        <v>1</v>
      </c>
      <c r="CA29">
        <v>-100</v>
      </c>
      <c r="CB29">
        <v>3</v>
      </c>
      <c r="CC29">
        <v>5</v>
      </c>
      <c r="CD29">
        <v>0</v>
      </c>
      <c r="CE29">
        <v>3</v>
      </c>
      <c r="CF29">
        <v>105</v>
      </c>
      <c r="CG29">
        <v>60</v>
      </c>
      <c r="CH29">
        <v>0</v>
      </c>
      <c r="CI29">
        <v>100</v>
      </c>
      <c r="CJ29">
        <v>2</v>
      </c>
      <c r="CK29">
        <v>3</v>
      </c>
      <c r="CL29">
        <v>0</v>
      </c>
      <c r="CM29">
        <v>1</v>
      </c>
      <c r="CN29">
        <v>58.33</v>
      </c>
      <c r="CO29">
        <v>33.33</v>
      </c>
      <c r="CP29">
        <v>0</v>
      </c>
      <c r="CQ29">
        <v>100</v>
      </c>
      <c r="CR29">
        <v>2</v>
      </c>
      <c r="CS29">
        <v>3</v>
      </c>
      <c r="CT29">
        <v>0</v>
      </c>
      <c r="CU29">
        <v>4</v>
      </c>
      <c r="CV29">
        <v>233.33</v>
      </c>
      <c r="CW29">
        <v>133.33</v>
      </c>
      <c r="CX29">
        <v>0</v>
      </c>
      <c r="CY29">
        <v>100</v>
      </c>
      <c r="CZ29">
        <v>1</v>
      </c>
      <c r="DA29">
        <v>1</v>
      </c>
      <c r="DB29">
        <v>0</v>
      </c>
      <c r="DC29">
        <v>1</v>
      </c>
      <c r="DD29">
        <v>175</v>
      </c>
      <c r="DE29">
        <v>100</v>
      </c>
      <c r="DF29">
        <v>0</v>
      </c>
      <c r="DG29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  <ignoredErrors>
    <ignoredError numberStoredAsText="1" sqref="A1:DG2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2:T37"/>
  <sheetViews>
    <sheetView workbookViewId="0" rightToLeft="0"/>
  </sheetViews>
  <sheetData>
    <row r="2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29</v>
      </c>
    </row>
    <row r="3">
      <c r="A3" t="str">
        <v>STT</v>
      </c>
      <c r="B3" t="str">
        <v>Nhân viên nhận chỉ tiêu</v>
      </c>
      <c r="C3" t="str">
        <v>User Kinh doanh</v>
      </c>
      <c r="D3" t="str">
        <v>user cha</v>
      </c>
      <c r="E3" t="str">
        <v>Quản lý</v>
      </c>
      <c r="F3" t="str">
        <v xml:space="preserve">FTTH </v>
      </c>
      <c r="G3" t="str">
        <v xml:space="preserve">Mesh </v>
      </c>
      <c r="H3" t="str">
        <v>Camera</v>
      </c>
      <c r="I3" t="str">
        <v>Truyền hình số đôi dây</v>
      </c>
      <c r="J3" t="str">
        <v xml:space="preserve">Thuê bao trả sau </v>
      </c>
      <c r="K3" t="str">
        <v>Thuê bao thực 30D</v>
      </c>
      <c r="L3" t="str">
        <v>Gói 5G</v>
      </c>
      <c r="M3" t="str">
        <v>TV MÀN HÌNH NHỎ STANDARD</v>
      </c>
      <c r="N3" t="str">
        <v>Ròi Mạng RM THS</v>
      </c>
      <c r="O3" t="str">
        <v>Rời mạng FTTH</v>
      </c>
      <c r="P3" t="str">
        <v>CƯỚC</v>
      </c>
      <c r="Q3" t="str">
        <v>Khôi phục THS</v>
      </c>
      <c r="R3" t="str">
        <v>MyBox</v>
      </c>
      <c r="S3" t="str">
        <v>mykid</v>
      </c>
    </row>
    <row r="5">
      <c r="F5">
        <v>134</v>
      </c>
      <c r="G5">
        <v>136</v>
      </c>
      <c r="H5">
        <v>67</v>
      </c>
      <c r="I5">
        <v>51</v>
      </c>
      <c r="J5">
        <v>125</v>
      </c>
      <c r="K5">
        <v>307</v>
      </c>
      <c r="L5">
        <v>806</v>
      </c>
      <c r="M5">
        <v>273</v>
      </c>
      <c r="N5">
        <v>59</v>
      </c>
      <c r="O5">
        <v>57</v>
      </c>
      <c r="Q5">
        <v>57</v>
      </c>
      <c r="R5">
        <v>21</v>
      </c>
      <c r="S5">
        <v>4</v>
      </c>
    </row>
    <row r="6">
      <c r="A6">
        <v>1</v>
      </c>
      <c r="B6" t="str">
        <v>Lê Trọng An</v>
      </c>
      <c r="C6" t="str">
        <v>ANLT_LDG_CNKD</v>
      </c>
      <c r="D6" t="str">
        <v>CNKD_LDG_ANLT</v>
      </c>
      <c r="E6" t="str">
        <v>VIETDQ9_NVKDDB_LDG</v>
      </c>
      <c r="F6">
        <f>VLOOKUP(D6,GBOC!$E$7:$DG$29,$C$23,0)</f>
        <v>8</v>
      </c>
      <c r="G6">
        <f>VLOOKUP(D6,GBOC!$E$7:$DG$29,$C$24,0)</f>
        <v>4</v>
      </c>
      <c r="H6">
        <f>VLOOKUP(D6,GBOC!$E$7:$DG$29,$C$25,0)</f>
        <v>5</v>
      </c>
      <c r="I6">
        <f>VLOOKUP(D6,GBOC!$E$7:$DG$29,$C$26,0)</f>
        <v>5</v>
      </c>
      <c r="J6">
        <f>VLOOKUP(D6,GBOC!$E$7:$DG$29,$C$27,0)</f>
        <v>4</v>
      </c>
      <c r="K6">
        <f>VLOOKUP(D6,GBOC!$E$7:$DG$29,$C$28,0)</f>
        <v>1</v>
      </c>
      <c r="L6">
        <f>VLOOKUP(D6,GBOC!$E$7:$DG$29,$C$29,0)</f>
        <v>30</v>
      </c>
      <c r="M6">
        <f>VLOOKUP(D6,GBOC!$E$7:$DG$29,$C$30,0)</f>
        <v>9</v>
      </c>
      <c r="N6">
        <f>VLOOKUP(D6,GBOC!$E$7:$DG$29,$C$31,0)</f>
        <v>4</v>
      </c>
      <c r="O6">
        <f>VLOOKUP(D6,GBOC!$E$7:$DG$29,$C$32,0)</f>
        <v>5</v>
      </c>
      <c r="P6">
        <v>0.97</v>
      </c>
      <c r="Q6">
        <f>VLOOKUP(D6,GBOC!$E$7:$DG$29,$C$34,0)</f>
        <v>2</v>
      </c>
      <c r="R6">
        <f>VLOOKUP(D6,GBOC!$E$7:$DG$29,$C$36,0)</f>
        <v>1</v>
      </c>
      <c r="S6">
        <f>VLOOKUP(D6,GBOC!$E$7:$DG$29,$C$37,0)</f>
        <v>0</v>
      </c>
    </row>
    <row r="7">
      <c r="A7">
        <v>2</v>
      </c>
      <c r="B7" t="str">
        <v>Bùi Thu Hằng</v>
      </c>
      <c r="C7" t="str">
        <v>HANGBT_LDG_CNKD</v>
      </c>
      <c r="D7" t="str">
        <v>CNKD_LDG_HANGBT</v>
      </c>
      <c r="E7" t="str">
        <v>SONTV10_NVKDDB_LDG</v>
      </c>
      <c r="F7">
        <f>VLOOKUP(D7,GBOC!$E$7:$DG$29,$C$23,0)</f>
        <v>7</v>
      </c>
      <c r="G7">
        <f>VLOOKUP(D7,GBOC!$E$7:$DG$29,$C$24,0)</f>
        <v>4</v>
      </c>
      <c r="H7">
        <f>VLOOKUP(D7,GBOC!$E$7:$DG$29,$C$25,0)</f>
        <v>5</v>
      </c>
      <c r="I7">
        <f>VLOOKUP(D7,GBOC!$E$7:$DG$29,$C$26,0)</f>
        <v>4</v>
      </c>
      <c r="J7">
        <f>VLOOKUP(D7,GBOC!$E$7:$DG$29,$C$27,0)</f>
        <v>4</v>
      </c>
      <c r="K7">
        <f>VLOOKUP(D7,GBOC!$E$7:$DG$29,$C$28,0)</f>
        <v>1</v>
      </c>
      <c r="L7">
        <f>VLOOKUP(D7,GBOC!$E$7:$DG$29,$C$29,0)</f>
        <v>30</v>
      </c>
      <c r="M7">
        <f>VLOOKUP(D7,GBOC!$E$7:$DG$29,$C$30,0)</f>
        <v>8</v>
      </c>
      <c r="N7">
        <f>VLOOKUP(D7,GBOC!$E$7:$DG$29,$C$31,0)</f>
        <v>4</v>
      </c>
      <c r="O7">
        <f>VLOOKUP(D7,GBOC!$E$7:$DG$29,$C$32,0)</f>
        <v>5</v>
      </c>
      <c r="P7">
        <v>0.97</v>
      </c>
      <c r="Q7">
        <f>VLOOKUP(D7,GBOC!$E$7:$DG$29,$C$34,0)</f>
        <v>3</v>
      </c>
      <c r="R7">
        <f>VLOOKUP(D7,GBOC!$E$7:$DG$29,$C$36,0)</f>
        <v>1</v>
      </c>
      <c r="S7">
        <f>VLOOKUP(D7,GBOC!$E$7:$DG$29,$C$37,0)</f>
        <v>1</v>
      </c>
    </row>
    <row r="8">
      <c r="A8">
        <v>3</v>
      </c>
      <c r="B8" t="str">
        <v>Bằng Trung Hiếu</v>
      </c>
      <c r="C8" t="str">
        <v>HIEUBT_LDG_CNKD</v>
      </c>
      <c r="D8" t="str">
        <v>CNKD_LDG_HIEUBT</v>
      </c>
      <c r="E8" t="str">
        <v>SONTV10_NVKDDB_LDG</v>
      </c>
      <c r="F8">
        <f>VLOOKUP(D8,GBOC!$E$7:$DG$29,$C$23,0)</f>
        <v>7</v>
      </c>
      <c r="G8">
        <f>VLOOKUP(D8,GBOC!$E$7:$DG$29,$C$24,0)</f>
        <v>4</v>
      </c>
      <c r="H8">
        <f>VLOOKUP(D8,GBOC!$E$7:$DG$29,$C$25,0)</f>
        <v>5</v>
      </c>
      <c r="I8">
        <f>VLOOKUP(D8,GBOC!$E$7:$DG$29,$C$26,0)</f>
        <v>4</v>
      </c>
      <c r="J8">
        <f>VLOOKUP(D8,GBOC!$E$7:$DG$29,$C$27,0)</f>
        <v>3</v>
      </c>
      <c r="K8">
        <f>VLOOKUP(D8,GBOC!$E$7:$DG$29,$C$28,0)</f>
        <v>1</v>
      </c>
      <c r="L8">
        <f>VLOOKUP(D8,GBOC!$E$7:$DG$29,$C$29,0)</f>
        <v>30</v>
      </c>
      <c r="M8">
        <f>VLOOKUP(D8,GBOC!$E$7:$DG$29,$C$30,0)</f>
        <v>8</v>
      </c>
      <c r="N8">
        <f>VLOOKUP(D8,GBOC!$E$7:$DG$29,$C$31,0)</f>
        <v>4</v>
      </c>
      <c r="O8">
        <f>VLOOKUP(D8,GBOC!$E$7:$DG$29,$C$32,0)</f>
        <v>5</v>
      </c>
      <c r="P8">
        <v>0.97</v>
      </c>
      <c r="Q8">
        <f>VLOOKUP(D8,GBOC!$E$7:$DG$29,$C$34,0)</f>
        <v>3</v>
      </c>
      <c r="R8">
        <f>VLOOKUP(D8,GBOC!$E$7:$DG$29,$C$36,0)</f>
        <v>1</v>
      </c>
      <c r="S8">
        <f>VLOOKUP(D8,GBOC!$E$7:$DG$29,$C$37,0)</f>
        <v>0</v>
      </c>
    </row>
    <row r="9">
      <c r="A9">
        <v>4</v>
      </c>
      <c r="B9" t="str">
        <v>Trần Văn Hùng</v>
      </c>
      <c r="C9" t="str">
        <v>HUNGTV1_LDG_CNKD</v>
      </c>
      <c r="D9" t="str">
        <v>CNKD_LDG_HUNGTV1</v>
      </c>
      <c r="E9" t="str">
        <v>SONTV10_NVKDDB_LDG</v>
      </c>
      <c r="F9">
        <f>VLOOKUP(D9,GBOC!$E$7:$DG$29,$C$23,0)</f>
        <v>7</v>
      </c>
      <c r="G9">
        <f>VLOOKUP(D9,GBOC!$E$7:$DG$29,$C$24,0)</f>
        <v>3</v>
      </c>
      <c r="H9">
        <f>VLOOKUP(D9,GBOC!$E$7:$DG$29,$C$25,0)</f>
        <v>4</v>
      </c>
      <c r="I9">
        <f>VLOOKUP(D9,GBOC!$E$7:$DG$29,$C$26,0)</f>
        <v>4</v>
      </c>
      <c r="J9">
        <f>VLOOKUP(D9,GBOC!$E$7:$DG$29,$C$27,0)</f>
        <v>3</v>
      </c>
      <c r="K9">
        <f>VLOOKUP(D9,GBOC!$E$7:$DG$29,$C$28,0)</f>
        <v>1</v>
      </c>
      <c r="L9">
        <f>VLOOKUP(D9,GBOC!$E$7:$DG$29,$C$29,0)</f>
        <v>30</v>
      </c>
      <c r="M9">
        <f>VLOOKUP(D9,GBOC!$E$7:$DG$29,$C$30,0)</f>
        <v>8</v>
      </c>
      <c r="N9">
        <f>VLOOKUP(D9,GBOC!$E$7:$DG$29,$C$31,0)</f>
        <v>4</v>
      </c>
      <c r="O9">
        <f>VLOOKUP(D9,GBOC!$E$7:$DG$29,$C$32,0)</f>
        <v>3</v>
      </c>
      <c r="P9">
        <v>0.97</v>
      </c>
      <c r="Q9">
        <f>VLOOKUP(D9,GBOC!$E$7:$DG$29,$C$34,0)</f>
        <v>1</v>
      </c>
      <c r="R9">
        <f>VLOOKUP(D9,GBOC!$E$7:$DG$29,$C$36,0)</f>
        <v>1</v>
      </c>
      <c r="S9">
        <f>VLOOKUP(D9,GBOC!$E$7:$DG$29,$C$37,0)</f>
        <v>0</v>
      </c>
    </row>
    <row r="10">
      <c r="A10">
        <v>5</v>
      </c>
      <c r="B10" t="str">
        <v>Nguyễn Thị Song Hương</v>
      </c>
      <c r="C10" t="str">
        <v>HUONGNTS_LDG_CNKD</v>
      </c>
      <c r="D10" t="str">
        <v>CNKD_LDG_HUONGNTS</v>
      </c>
      <c r="E10" t="str">
        <v>SENNT8_NVKDDB_LDG</v>
      </c>
      <c r="F10">
        <f>VLOOKUP(D10,GBOC!$E$7:$DG$29,$C$23,0)</f>
        <v>7</v>
      </c>
      <c r="G10">
        <f>VLOOKUP(D10,GBOC!$E$7:$DG$29,$C$24,0)</f>
        <v>4</v>
      </c>
      <c r="H10">
        <f>VLOOKUP(D10,GBOC!$E$7:$DG$29,$C$25,0)</f>
        <v>5</v>
      </c>
      <c r="I10">
        <f>VLOOKUP(D10,GBOC!$E$7:$DG$29,$C$26,0)</f>
        <v>4</v>
      </c>
      <c r="J10">
        <f>VLOOKUP(D10,GBOC!$E$7:$DG$29,$C$27,0)</f>
        <v>4</v>
      </c>
      <c r="K10">
        <f>VLOOKUP(D10,GBOC!$E$7:$DG$29,$C$28,0)</f>
        <v>1</v>
      </c>
      <c r="L10">
        <f>VLOOKUP(D10,GBOC!$E$7:$DG$29,$C$29,0)</f>
        <v>40</v>
      </c>
      <c r="M10">
        <f>VLOOKUP(D10,GBOC!$E$7:$DG$29,$C$30,0)</f>
        <v>8</v>
      </c>
      <c r="N10">
        <f>VLOOKUP(D10,GBOC!$E$7:$DG$29,$C$31,0)</f>
        <v>3</v>
      </c>
      <c r="O10">
        <f>VLOOKUP(D10,GBOC!$E$7:$DG$29,$C$32,0)</f>
        <v>4</v>
      </c>
      <c r="P10">
        <v>0.97</v>
      </c>
      <c r="Q10">
        <f>VLOOKUP(D10,GBOC!$E$7:$DG$29,$C$34,0)</f>
        <v>2</v>
      </c>
      <c r="R10">
        <f>VLOOKUP(D10,GBOC!$E$7:$DG$29,$C$36,0)</f>
        <v>1</v>
      </c>
      <c r="S10">
        <f>VLOOKUP(D10,GBOC!$E$7:$DG$29,$C$37,0)</f>
        <v>0</v>
      </c>
    </row>
    <row r="11">
      <c r="A11">
        <v>6</v>
      </c>
      <c r="B11" t="str">
        <v>Vũ Thị Thu Hương</v>
      </c>
      <c r="C11" t="str">
        <v>HUONGVTT_LDG_CNKD</v>
      </c>
      <c r="D11" t="str">
        <v>CNKD_LDG_HUONGVTT</v>
      </c>
      <c r="E11" t="str">
        <v>SONTV10_NVKDDB_LDG</v>
      </c>
      <c r="F11">
        <f>VLOOKUP(D11,GBOC!$E$7:$DG$29,$C$23,0)</f>
        <v>7</v>
      </c>
      <c r="G11">
        <f>VLOOKUP(D11,GBOC!$E$7:$DG$29,$C$24,0)</f>
        <v>3</v>
      </c>
      <c r="H11">
        <f>VLOOKUP(D11,GBOC!$E$7:$DG$29,$C$25,0)</f>
        <v>4</v>
      </c>
      <c r="I11">
        <f>VLOOKUP(D11,GBOC!$E$7:$DG$29,$C$26,0)</f>
        <v>4</v>
      </c>
      <c r="J11">
        <f>VLOOKUP(D11,GBOC!$E$7:$DG$29,$C$27,0)</f>
        <v>3</v>
      </c>
      <c r="K11">
        <f>VLOOKUP(D11,GBOC!$E$7:$DG$29,$C$28,0)</f>
        <v>1</v>
      </c>
      <c r="L11">
        <f>VLOOKUP(D11,GBOC!$E$7:$DG$29,$C$29,0)</f>
        <v>30</v>
      </c>
      <c r="M11">
        <f>VLOOKUP(D11,GBOC!$E$7:$DG$29,$C$30,0)</f>
        <v>8</v>
      </c>
      <c r="N11">
        <f>VLOOKUP(D11,GBOC!$E$7:$DG$29,$C$31,0)</f>
        <v>4</v>
      </c>
      <c r="O11">
        <f>VLOOKUP(D11,GBOC!$E$7:$DG$29,$C$32,0)</f>
        <v>4</v>
      </c>
      <c r="P11">
        <v>0.97</v>
      </c>
      <c r="Q11">
        <f>VLOOKUP(D11,GBOC!$E$7:$DG$29,$C$34,0)</f>
        <v>1</v>
      </c>
      <c r="R11">
        <f>VLOOKUP(D11,GBOC!$E$7:$DG$29,$C$36,0)</f>
        <v>1</v>
      </c>
      <c r="S11">
        <f>VLOOKUP(D11,GBOC!$E$7:$DG$29,$C$37,0)</f>
        <v>0</v>
      </c>
    </row>
    <row r="12">
      <c r="A12">
        <v>7</v>
      </c>
      <c r="B12" t="str">
        <v>Phạm Mỹ Linh</v>
      </c>
      <c r="C12" t="str">
        <v>LINHPM_LDG_CNKD</v>
      </c>
      <c r="D12" t="str">
        <v>CNKD_LDG_LINHPM</v>
      </c>
      <c r="E12" t="str">
        <v>VIETDQ9_NVKDDB_LDG</v>
      </c>
      <c r="F12">
        <f>VLOOKUP(D12,GBOC!$E$7:$DG$29,$C$23,0)</f>
        <v>8</v>
      </c>
      <c r="G12">
        <f>VLOOKUP(D12,GBOC!$E$7:$DG$29,$C$24,0)</f>
        <v>4</v>
      </c>
      <c r="H12">
        <f>VLOOKUP(D12,GBOC!$E$7:$DG$29,$C$25,0)</f>
        <v>5</v>
      </c>
      <c r="I12">
        <f>VLOOKUP(D12,GBOC!$E$7:$DG$29,$C$26,0)</f>
        <v>5</v>
      </c>
      <c r="J12">
        <f>VLOOKUP(D12,GBOC!$E$7:$DG$29,$C$27,0)</f>
        <v>4</v>
      </c>
      <c r="K12">
        <f>VLOOKUP(D12,GBOC!$E$7:$DG$29,$C$28,0)</f>
        <v>1</v>
      </c>
      <c r="L12">
        <f>VLOOKUP(D12,GBOC!$E$7:$DG$29,$C$29,0)</f>
        <v>50</v>
      </c>
      <c r="M12">
        <f>VLOOKUP(D12,GBOC!$E$7:$DG$29,$C$30,0)</f>
        <v>9</v>
      </c>
      <c r="N12">
        <f>VLOOKUP(D12,GBOC!$E$7:$DG$29,$C$31,0)</f>
        <v>4</v>
      </c>
      <c r="O12">
        <f>VLOOKUP(D12,GBOC!$E$7:$DG$29,$C$32,0)</f>
        <v>5</v>
      </c>
      <c r="P12">
        <v>0.97</v>
      </c>
      <c r="Q12">
        <f>VLOOKUP(D12,GBOC!$E$7:$DG$29,$C$34,0)</f>
        <v>2</v>
      </c>
      <c r="R12">
        <f>VLOOKUP(D12,GBOC!$E$7:$DG$29,$C$36,0)</f>
        <v>1</v>
      </c>
      <c r="S12">
        <f>VLOOKUP(D12,GBOC!$E$7:$DG$29,$C$37,0)</f>
        <v>1</v>
      </c>
    </row>
    <row r="13">
      <c r="A13">
        <v>8</v>
      </c>
      <c r="B13" t="str">
        <v>Nguyễn Thành Long</v>
      </c>
      <c r="C13" t="str">
        <v>LONGNT_LDG_CNKD</v>
      </c>
      <c r="D13" t="str">
        <v>CNKD_LDG_LONGNT</v>
      </c>
      <c r="E13" t="str">
        <v>VIETDQ9_NVKDDB_LDG</v>
      </c>
      <c r="F13" t="e">
        <f>VLOOKUP(D13,GBOC!$E$7:$DG$29,$C$23,0)</f>
        <v>#N/A</v>
      </c>
      <c r="G13" t="e">
        <f>VLOOKUP(D13,GBOC!$E$7:$DG$29,$C$24,0)</f>
        <v>#N/A</v>
      </c>
      <c r="H13" t="e">
        <f>VLOOKUP(D13,GBOC!$E$7:$DG$29,$C$25,0)</f>
        <v>#N/A</v>
      </c>
      <c r="I13" t="e">
        <f>VLOOKUP(D13,GBOC!$E$7:$DG$29,$C$26,0)</f>
        <v>#N/A</v>
      </c>
      <c r="J13" t="e">
        <f>VLOOKUP(D13,GBOC!$E$7:$DG$29,$C$27,0)</f>
        <v>#N/A</v>
      </c>
      <c r="K13" t="e">
        <f>VLOOKUP(D13,GBOC!$E$7:$DG$29,$C$28,0)</f>
        <v>#N/A</v>
      </c>
      <c r="L13" t="e">
        <f>VLOOKUP(D13,GBOC!$E$7:$DG$29,$C$29,0)</f>
        <v>#N/A</v>
      </c>
      <c r="M13" t="e">
        <f>VLOOKUP(D13,GBOC!$E$7:$DG$29,$C$30,0)</f>
        <v>#N/A</v>
      </c>
      <c r="N13" t="e">
        <f>VLOOKUP(D13,GBOC!$E$7:$DG$29,$C$31,0)</f>
        <v>#N/A</v>
      </c>
      <c r="O13" t="e">
        <f>VLOOKUP(D13,GBOC!$E$7:$DG$29,$C$32,0)</f>
        <v>#N/A</v>
      </c>
      <c r="P13">
        <v>0.97</v>
      </c>
      <c r="Q13" t="e">
        <f>VLOOKUP(D13,GBOC!$E$7:$DG$29,$C$34,0)</f>
        <v>#N/A</v>
      </c>
      <c r="R13" t="e">
        <f>VLOOKUP(D13,GBOC!$E$7:$DG$29,$C$36,0)</f>
        <v>#N/A</v>
      </c>
      <c r="S13" t="e">
        <f>VLOOKUP(D13,GBOC!$E$7:$DG$29,$C$37,0)</f>
        <v>#N/A</v>
      </c>
    </row>
    <row r="14">
      <c r="A14">
        <v>9</v>
      </c>
      <c r="B14" t="str">
        <v>Vũ Đức Nhuận</v>
      </c>
      <c r="C14" t="str">
        <v>NHUANVD_LDG_CNKD</v>
      </c>
      <c r="D14" t="str">
        <v>CNKD_LDG_NHUANVD</v>
      </c>
      <c r="E14" t="str">
        <v>VIETDQ9_NVKDDB_LDG</v>
      </c>
      <c r="F14">
        <f>VLOOKUP(D14,GBOC!$E$7:$DG$29,$C$23,0)</f>
        <v>8</v>
      </c>
      <c r="G14">
        <f>VLOOKUP(D14,GBOC!$E$7:$DG$29,$C$24,0)</f>
        <v>4</v>
      </c>
      <c r="H14">
        <f>VLOOKUP(D14,GBOC!$E$7:$DG$29,$C$25,0)</f>
        <v>5</v>
      </c>
      <c r="I14">
        <f>VLOOKUP(D14,GBOC!$E$7:$DG$29,$C$26,0)</f>
        <v>5</v>
      </c>
      <c r="J14">
        <f>VLOOKUP(D14,GBOC!$E$7:$DG$29,$C$27,0)</f>
        <v>3</v>
      </c>
      <c r="K14">
        <f>VLOOKUP(D14,GBOC!$E$7:$DG$29,$C$28,0)</f>
        <v>1</v>
      </c>
      <c r="L14">
        <f>VLOOKUP(D14,GBOC!$E$7:$DG$29,$C$29,0)</f>
        <v>30</v>
      </c>
      <c r="M14">
        <f>VLOOKUP(D14,GBOC!$E$7:$DG$29,$C$30,0)</f>
        <v>9</v>
      </c>
      <c r="N14">
        <f>VLOOKUP(D14,GBOC!$E$7:$DG$29,$C$31,0)</f>
        <v>4</v>
      </c>
      <c r="O14">
        <f>VLOOKUP(D14,GBOC!$E$7:$DG$29,$C$32,0)</f>
        <v>5</v>
      </c>
      <c r="P14">
        <v>0.97</v>
      </c>
      <c r="Q14">
        <f>VLOOKUP(D14,GBOC!$E$7:$DG$29,$C$34,0)</f>
        <v>3</v>
      </c>
      <c r="R14">
        <f>VLOOKUP(D14,GBOC!$E$7:$DG$29,$C$36,0)</f>
        <v>1</v>
      </c>
      <c r="S14">
        <f>VLOOKUP(D14,GBOC!$E$7:$DG$29,$C$37,0)</f>
        <v>0</v>
      </c>
    </row>
    <row r="15">
      <c r="A15">
        <v>10</v>
      </c>
      <c r="B15" t="str">
        <v>Nguyễn Thị Thu Phượng</v>
      </c>
      <c r="C15" t="str">
        <v>PHUONGNTT1_LDG_CNKD</v>
      </c>
      <c r="D15" t="str">
        <v>CNKD_LDG_PHUONGNTT1</v>
      </c>
      <c r="E15" t="str">
        <v>SONTV10_NVKDDB_LDG</v>
      </c>
      <c r="F15">
        <f>VLOOKUP(D15,GBOC!$E$7:$DG$29,$C$23,0)</f>
        <v>7</v>
      </c>
      <c r="G15">
        <f>VLOOKUP(D15,GBOC!$E$7:$DG$29,$C$24,0)</f>
        <v>4</v>
      </c>
      <c r="H15">
        <f>VLOOKUP(D15,GBOC!$E$7:$DG$29,$C$25,0)</f>
        <v>5</v>
      </c>
      <c r="I15">
        <f>VLOOKUP(D15,GBOC!$E$7:$DG$29,$C$26,0)</f>
        <v>4</v>
      </c>
      <c r="J15">
        <f>VLOOKUP(D15,GBOC!$E$7:$DG$29,$C$27,0)</f>
        <v>4</v>
      </c>
      <c r="K15">
        <f>VLOOKUP(D15,GBOC!$E$7:$DG$29,$C$28,0)</f>
        <v>1</v>
      </c>
      <c r="L15">
        <f>VLOOKUP(D15,GBOC!$E$7:$DG$29,$C$29,0)</f>
        <v>30</v>
      </c>
      <c r="M15">
        <f>VLOOKUP(D15,GBOC!$E$7:$DG$29,$C$30,0)</f>
        <v>8</v>
      </c>
      <c r="N15">
        <f>VLOOKUP(D15,GBOC!$E$7:$DG$29,$C$31,0)</f>
        <v>4</v>
      </c>
      <c r="O15">
        <f>VLOOKUP(D15,GBOC!$E$7:$DG$29,$C$32,0)</f>
        <v>5</v>
      </c>
      <c r="P15">
        <v>0.97</v>
      </c>
      <c r="Q15">
        <f>VLOOKUP(D15,GBOC!$E$7:$DG$29,$C$34,0)</f>
        <v>3</v>
      </c>
      <c r="R15">
        <f>VLOOKUP(D15,GBOC!$E$7:$DG$29,$C$36,0)</f>
        <v>1</v>
      </c>
      <c r="S15">
        <f>VLOOKUP(D15,GBOC!$E$7:$DG$29,$C$37,0)</f>
        <v>0</v>
      </c>
    </row>
    <row r="16">
      <c r="A16">
        <v>11</v>
      </c>
      <c r="B16" t="str">
        <v>Lê Thanh Sang</v>
      </c>
      <c r="C16" t="str">
        <v>SANGLT_LDG_CNKD</v>
      </c>
      <c r="D16" t="str">
        <v>CNKD_LDG_SANGLT</v>
      </c>
      <c r="E16" t="str">
        <v>VIETDQ9_NVKDDB_LDG</v>
      </c>
      <c r="F16">
        <f>VLOOKUP(D16,GBOC!$E$7:$DG$29,$C$23,0)</f>
        <v>8</v>
      </c>
      <c r="G16">
        <f>VLOOKUP(D16,GBOC!$E$7:$DG$29,$C$24,0)</f>
        <v>4</v>
      </c>
      <c r="H16">
        <f>VLOOKUP(D16,GBOC!$E$7:$DG$29,$C$25,0)</f>
        <v>5</v>
      </c>
      <c r="I16">
        <f>VLOOKUP(D16,GBOC!$E$7:$DG$29,$C$26,0)</f>
        <v>5</v>
      </c>
      <c r="J16">
        <f>VLOOKUP(D16,GBOC!$E$7:$DG$29,$C$27,0)</f>
        <v>3</v>
      </c>
      <c r="K16">
        <f>VLOOKUP(D16,GBOC!$E$7:$DG$29,$C$28,0)</f>
        <v>1</v>
      </c>
      <c r="L16">
        <f>VLOOKUP(D16,GBOC!$E$7:$DG$29,$C$29,0)</f>
        <v>30</v>
      </c>
      <c r="M16">
        <f>VLOOKUP(D16,GBOC!$E$7:$DG$29,$C$30,0)</f>
        <v>9</v>
      </c>
      <c r="N16">
        <f>VLOOKUP(D16,GBOC!$E$7:$DG$29,$C$31,0)</f>
        <v>4</v>
      </c>
      <c r="O16">
        <f>VLOOKUP(D16,GBOC!$E$7:$DG$29,$C$32,0)</f>
        <v>5</v>
      </c>
      <c r="P16">
        <v>0.97</v>
      </c>
      <c r="Q16">
        <f>VLOOKUP(D16,GBOC!$E$7:$DG$29,$C$34,0)</f>
        <v>2</v>
      </c>
      <c r="R16">
        <f>VLOOKUP(D16,GBOC!$E$7:$DG$29,$C$36,0)</f>
        <v>1</v>
      </c>
      <c r="S16">
        <f>VLOOKUP(D16,GBOC!$E$7:$DG$29,$C$37,0)</f>
        <v>0</v>
      </c>
    </row>
    <row r="17">
      <c r="A17">
        <v>12</v>
      </c>
      <c r="B17" t="str">
        <v>Trương Văn Sang</v>
      </c>
      <c r="C17" t="str">
        <v>SANGTV_LDG_CNKD</v>
      </c>
      <c r="D17" t="str">
        <v>CNKD_LDG_SANGTV</v>
      </c>
      <c r="E17" t="str">
        <v>SONTV10_NVKDDB_LDG</v>
      </c>
      <c r="F17">
        <f>VLOOKUP(D17,GBOC!$E$7:$DG$29,$C$23,0)</f>
        <v>7</v>
      </c>
      <c r="G17">
        <f>VLOOKUP(D17,GBOC!$E$7:$DG$29,$C$24,0)</f>
        <v>4</v>
      </c>
      <c r="H17">
        <f>VLOOKUP(D17,GBOC!$E$7:$DG$29,$C$25,0)</f>
        <v>5</v>
      </c>
      <c r="I17">
        <f>VLOOKUP(D17,GBOC!$E$7:$DG$29,$C$26,0)</f>
        <v>4</v>
      </c>
      <c r="J17">
        <f>VLOOKUP(D17,GBOC!$E$7:$DG$29,$C$27,0)</f>
        <v>4</v>
      </c>
      <c r="K17">
        <f>VLOOKUP(D17,GBOC!$E$7:$DG$29,$C$28,0)</f>
        <v>1</v>
      </c>
      <c r="L17">
        <f>VLOOKUP(D17,GBOC!$E$7:$DG$29,$C$29,0)</f>
        <v>30</v>
      </c>
      <c r="M17">
        <f>VLOOKUP(D17,GBOC!$E$7:$DG$29,$C$30,0)</f>
        <v>8</v>
      </c>
      <c r="N17">
        <f>VLOOKUP(D17,GBOC!$E$7:$DG$29,$C$31,0)</f>
        <v>4</v>
      </c>
      <c r="O17">
        <f>VLOOKUP(D17,GBOC!$E$7:$DG$29,$C$32,0)</f>
        <v>4</v>
      </c>
      <c r="P17">
        <v>0.97</v>
      </c>
      <c r="Q17">
        <f>VLOOKUP(D17,GBOC!$E$7:$DG$29,$C$34,0)</f>
        <v>2</v>
      </c>
      <c r="R17">
        <f>VLOOKUP(D17,GBOC!$E$7:$DG$29,$C$36,0)</f>
        <v>1</v>
      </c>
      <c r="S17">
        <f>VLOOKUP(D17,GBOC!$E$7:$DG$29,$C$37,0)</f>
        <v>0</v>
      </c>
    </row>
    <row r="18">
      <c r="A18">
        <v>13</v>
      </c>
      <c r="B18" t="str">
        <v>Đặng Thị Tám</v>
      </c>
      <c r="C18" t="str">
        <v>TAMDT_LDG_CNKD</v>
      </c>
      <c r="D18" t="str">
        <v>CNKD_LDG_TAMDT</v>
      </c>
      <c r="E18" t="str">
        <v>VIETDQ9_NVKDDB_LDG</v>
      </c>
      <c r="F18">
        <f>VLOOKUP(D18,GBOC!$E$7:$DG$29,$C$23,0)</f>
        <v>8</v>
      </c>
      <c r="G18">
        <f>VLOOKUP(D18,GBOC!$E$7:$DG$29,$C$24,0)</f>
        <v>4</v>
      </c>
      <c r="H18">
        <f>VLOOKUP(D18,GBOC!$E$7:$DG$29,$C$25,0)</f>
        <v>5</v>
      </c>
      <c r="I18">
        <f>VLOOKUP(D18,GBOC!$E$7:$DG$29,$C$26,0)</f>
        <v>5</v>
      </c>
      <c r="J18">
        <f>VLOOKUP(D18,GBOC!$E$7:$DG$29,$C$27,0)</f>
        <v>4</v>
      </c>
      <c r="K18">
        <f>VLOOKUP(D18,GBOC!$E$7:$DG$29,$C$28,0)</f>
        <v>1</v>
      </c>
      <c r="L18">
        <f>VLOOKUP(D18,GBOC!$E$7:$DG$29,$C$29,0)</f>
        <v>30</v>
      </c>
      <c r="M18">
        <f>VLOOKUP(D18,GBOC!$E$7:$DG$29,$C$30,0)</f>
        <v>9</v>
      </c>
      <c r="N18">
        <f>VLOOKUP(D18,GBOC!$E$7:$DG$29,$C$31,0)</f>
        <v>4</v>
      </c>
      <c r="O18">
        <f>VLOOKUP(D18,GBOC!$E$7:$DG$29,$C$32,0)</f>
        <v>5</v>
      </c>
      <c r="P18">
        <v>0.97</v>
      </c>
      <c r="Q18">
        <f>VLOOKUP(D18,GBOC!$E$7:$DG$29,$C$34,0)</f>
        <v>3</v>
      </c>
      <c r="R18">
        <f>VLOOKUP(D18,GBOC!$E$7:$DG$29,$C$36,0)</f>
        <v>1</v>
      </c>
      <c r="S18">
        <f>VLOOKUP(D18,GBOC!$E$7:$DG$29,$C$37,0)</f>
        <v>0</v>
      </c>
    </row>
    <row r="19">
      <c r="A19">
        <v>14</v>
      </c>
      <c r="B19" t="str">
        <v>Nguyễn Thị Huyền Thương</v>
      </c>
      <c r="C19" t="str">
        <v>THUONGNTH_LDG_CNKD</v>
      </c>
      <c r="D19" t="str">
        <v>CNKD_LDG_THUONGNTH</v>
      </c>
      <c r="E19" t="str">
        <v>SONTV10_NVKDDB_LDG</v>
      </c>
      <c r="F19">
        <f>VLOOKUP(D19,GBOC!$E$7:$DG$29,$C$23,0)</f>
        <v>7</v>
      </c>
      <c r="G19">
        <f>VLOOKUP(D19,GBOC!$E$7:$DG$29,$C$24,0)</f>
        <v>4</v>
      </c>
      <c r="H19">
        <f>VLOOKUP(D19,GBOC!$E$7:$DG$29,$C$25,0)</f>
        <v>5</v>
      </c>
      <c r="I19">
        <f>VLOOKUP(D19,GBOC!$E$7:$DG$29,$C$26,0)</f>
        <v>4</v>
      </c>
      <c r="J19">
        <f>VLOOKUP(D19,GBOC!$E$7:$DG$29,$C$27,0)</f>
        <v>4</v>
      </c>
      <c r="K19">
        <f>VLOOKUP(D19,GBOC!$E$7:$DG$29,$C$28,0)</f>
        <v>1</v>
      </c>
      <c r="L19">
        <f>VLOOKUP(D19,GBOC!$E$7:$DG$29,$C$29,0)</f>
        <v>60</v>
      </c>
      <c r="M19">
        <f>VLOOKUP(D19,GBOC!$E$7:$DG$29,$C$30,0)</f>
        <v>8</v>
      </c>
      <c r="N19">
        <f>VLOOKUP(D19,GBOC!$E$7:$DG$29,$C$31,0)</f>
        <v>4</v>
      </c>
      <c r="O19">
        <f>VLOOKUP(D19,GBOC!$E$7:$DG$29,$C$32,0)</f>
        <v>5</v>
      </c>
      <c r="P19">
        <v>0.97</v>
      </c>
      <c r="Q19">
        <f>VLOOKUP(D19,GBOC!$E$7:$DG$29,$C$34,0)</f>
        <v>3</v>
      </c>
      <c r="R19">
        <f>VLOOKUP(D19,GBOC!$E$7:$DG$29,$C$36,0)</f>
        <v>1</v>
      </c>
      <c r="S19">
        <f>VLOOKUP(D19,GBOC!$E$7:$DG$29,$C$37,0)</f>
        <v>0</v>
      </c>
    </row>
    <row r="20">
      <c r="A20">
        <v>15</v>
      </c>
      <c r="B20" t="str">
        <v>Vòng Vĩnh Vân</v>
      </c>
      <c r="C20" t="str">
        <v>VANVV_LDG_CNKD</v>
      </c>
      <c r="D20" t="str">
        <v>CNKD_LDG_VANVV</v>
      </c>
      <c r="E20" t="str">
        <v>SENNT8_NVKDDB_LDG</v>
      </c>
      <c r="F20">
        <f>VLOOKUP(D20,GBOC!$E$7:$DG$29,$C$23,0)</f>
        <v>3</v>
      </c>
      <c r="G20">
        <f>VLOOKUP(D20,GBOC!$E$7:$DG$29,$C$24,0)</f>
        <v>2</v>
      </c>
      <c r="H20">
        <f>VLOOKUP(D20,GBOC!$E$7:$DG$29,$C$25,0)</f>
        <v>2</v>
      </c>
      <c r="I20">
        <f>VLOOKUP(D20,GBOC!$E$7:$DG$29,$C$26,0)</f>
        <v>3</v>
      </c>
      <c r="J20">
        <f>VLOOKUP(D20,GBOC!$E$7:$DG$29,$C$27,0)</f>
        <v>3</v>
      </c>
      <c r="K20">
        <f>VLOOKUP(D20,GBOC!$E$7:$DG$29,$C$28,0)</f>
        <v>1</v>
      </c>
      <c r="L20">
        <f>VLOOKUP(D20,GBOC!$E$7:$DG$29,$C$29,0)</f>
        <v>14</v>
      </c>
      <c r="M20">
        <f>VLOOKUP(D20,GBOC!$E$7:$DG$29,$C$30,0)</f>
        <v>5</v>
      </c>
      <c r="N20">
        <f>VLOOKUP(D20,GBOC!$E$7:$DG$29,$C$31,0)</f>
        <v>3</v>
      </c>
      <c r="O20">
        <f>VLOOKUP(D20,GBOC!$E$7:$DG$29,$C$32,0)</f>
        <v>3</v>
      </c>
      <c r="P20">
        <v>0.97</v>
      </c>
      <c r="Q20">
        <f>VLOOKUP(D20,GBOC!$E$7:$DG$29,$C$34,0)</f>
        <v>1</v>
      </c>
      <c r="R20">
        <f>VLOOKUP(D20,GBOC!$E$7:$DG$29,$C$36,0)</f>
        <v>1</v>
      </c>
      <c r="S20">
        <f>VLOOKUP(D20,GBOC!$E$7:$DG$29,$C$37,0)</f>
        <v>0</v>
      </c>
    </row>
    <row r="23">
      <c r="A23" t="str">
        <v>TB FTTH phát triển mới</v>
      </c>
      <c r="B23" t="str">
        <v>7</v>
      </c>
      <c r="C23">
        <f>B23-2</f>
        <v>5</v>
      </c>
    </row>
    <row r="24">
      <c r="A24" t="str">
        <v>Supernet PTM</v>
      </c>
      <c r="B24">
        <v>15</v>
      </c>
      <c r="C24">
        <f>B24-2</f>
        <v>13</v>
      </c>
    </row>
    <row r="25">
      <c r="A25" t="str">
        <v>Camera Đấu nối và bán đứt mua icloud</v>
      </c>
      <c r="B25">
        <v>55</v>
      </c>
      <c r="C25">
        <f>B25-2</f>
        <v>53</v>
      </c>
    </row>
    <row r="26">
      <c r="A26" t="str">
        <v>THS Đôi dây PTM</v>
      </c>
      <c r="B26">
        <v>87</v>
      </c>
      <c r="C26">
        <f>B26-2</f>
        <v>85</v>
      </c>
    </row>
    <row r="27">
      <c r="A27" t="str">
        <v>Thuê Bao trả sau</v>
      </c>
      <c r="B27">
        <v>95</v>
      </c>
      <c r="C27">
        <f>B27-2</f>
        <v>93</v>
      </c>
    </row>
    <row r="28">
      <c r="A28" t="str">
        <v>Thuê bao thực 4G</v>
      </c>
      <c r="B28">
        <v>103</v>
      </c>
      <c r="C28">
        <f>B28-2</f>
        <v>101</v>
      </c>
    </row>
    <row r="29">
      <c r="A29" t="str">
        <v>Thuê bao  5G</v>
      </c>
      <c r="B29">
        <v>47</v>
      </c>
      <c r="C29">
        <f>B29-2</f>
        <v>45</v>
      </c>
    </row>
    <row r="30">
      <c r="A30" t="str">
        <v>Thuê bao standard</v>
      </c>
      <c r="B30">
        <v>79</v>
      </c>
      <c r="C30">
        <f>B30-2</f>
        <v>77</v>
      </c>
    </row>
    <row r="31">
      <c r="A31" t="str">
        <v>Rời mạng THS</v>
      </c>
      <c r="B31">
        <v>39</v>
      </c>
      <c r="C31">
        <f>B31-2</f>
        <v>37</v>
      </c>
    </row>
    <row r="32">
      <c r="A32" t="str">
        <v>Rời mạng FTTH</v>
      </c>
      <c r="B32">
        <v>31</v>
      </c>
      <c r="C32">
        <f>B32-2</f>
        <v>29</v>
      </c>
    </row>
    <row r="33">
      <c r="A33" t="str">
        <v>Cước N1- N3</v>
      </c>
    </row>
    <row r="34">
      <c r="A34" t="str">
        <v>Khôi phục THS</v>
      </c>
      <c r="B34">
        <v>23</v>
      </c>
      <c r="C34">
        <f>B34-2</f>
        <v>21</v>
      </c>
    </row>
    <row r="35">
      <c r="A35" t="str">
        <v>Trải nghiệm THS</v>
      </c>
    </row>
    <row r="36">
      <c r="A36" t="str">
        <v>Thuê Bao mybox</v>
      </c>
      <c r="B36">
        <v>71</v>
      </c>
      <c r="C36">
        <f>B36-2</f>
        <v>69</v>
      </c>
    </row>
    <row r="37">
      <c r="A37" t="str">
        <v>MYKID</v>
      </c>
      <c r="B37">
        <v>63</v>
      </c>
      <c r="C37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ageMargins left="0.6999125161508876" right="0.6999125161508876" top="0.7499062639521802" bottom="0.7499062639521802" header="0.2999625102741512" footer="0.2999625102741512"/>
  <ignoredErrors>
    <ignoredError numberStoredAsText="1" sqref="A2:T3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t="str">
        <v>Mã hộ</v>
      </c>
      <c r="B1" t="str">
        <v>Tên HKD</v>
      </c>
      <c r="C1" t="str">
        <v>User Nhân viên quản lý</v>
      </c>
      <c r="D1" t="str">
        <v>CHỈ TIÊU</v>
      </c>
      <c r="E1" t="str">
        <v>LUỸ KẾ</v>
      </c>
      <c r="F1" t="str">
        <v>%HT</v>
      </c>
    </row>
    <row r="3">
      <c r="A3" t="str">
        <v>ANLT_LDG_CNKD</v>
      </c>
      <c r="B3" t="str">
        <v>CNKD_Lê Trọng An</v>
      </c>
      <c r="C3" t="str">
        <v>VIETDQ9_NVKDDB_LDG</v>
      </c>
      <c r="D3">
        <v>15</v>
      </c>
      <c r="E3">
        <v>18</v>
      </c>
      <c r="F3">
        <v>1.2</v>
      </c>
    </row>
    <row r="4">
      <c r="A4" t="str">
        <v>BINHLT_LDG_CNKD</v>
      </c>
      <c r="B4" t="str">
        <v>CNKD_Lương Thị Bình</v>
      </c>
      <c r="C4" t="str">
        <v>SENNT8_NVKDDB_LDG</v>
      </c>
      <c r="D4">
        <v>15</v>
      </c>
      <c r="E4">
        <v>20</v>
      </c>
      <c r="F4">
        <v>1.3333333333333333</v>
      </c>
    </row>
    <row r="5">
      <c r="A5" t="str">
        <v>HANGBT_LDG_CNKD</v>
      </c>
      <c r="B5" t="str">
        <v>CNKD_Bùi Thu Hằng</v>
      </c>
      <c r="C5" t="str">
        <v>SONTV10_NVKDDB_LDG</v>
      </c>
      <c r="D5">
        <v>15</v>
      </c>
      <c r="E5">
        <v>7</v>
      </c>
      <c r="F5">
        <v>0.4666666666666667</v>
      </c>
    </row>
    <row r="6">
      <c r="A6" t="str">
        <v>HIEUBT_LDG_CNKD</v>
      </c>
      <c r="B6" t="str">
        <v>CNKD_Bằng Trung Hiếu</v>
      </c>
      <c r="C6" t="str">
        <v>SONTV10_NVKDDB_LDG</v>
      </c>
      <c r="D6">
        <v>15</v>
      </c>
      <c r="E6">
        <v>10</v>
      </c>
      <c r="F6">
        <v>0.6666666666666666</v>
      </c>
    </row>
    <row r="7">
      <c r="A7" t="str">
        <v>HUNGTV1_LDG_CNKD</v>
      </c>
      <c r="B7" t="str">
        <v>CNKD_Trần Văn Hùng</v>
      </c>
      <c r="C7" t="str">
        <v>SONTV10_NVKDDB_LDG</v>
      </c>
      <c r="D7">
        <v>9</v>
      </c>
      <c r="E7">
        <v>2</v>
      </c>
      <c r="F7">
        <v>0.2222222222222222</v>
      </c>
    </row>
    <row r="8">
      <c r="A8" t="str">
        <v>HUONGNTS_LDG_CNKD</v>
      </c>
      <c r="B8" t="str">
        <v>CNKD_Nguyễn Thị Song Hương</v>
      </c>
      <c r="C8" t="str">
        <v>SENNT8_NVKDDB_LDG</v>
      </c>
      <c r="D8">
        <v>15</v>
      </c>
      <c r="E8">
        <v>14</v>
      </c>
      <c r="F8">
        <v>0.9333333333333333</v>
      </c>
    </row>
    <row r="9">
      <c r="A9" t="str">
        <v>HUONGVTT_LDG_CNKD</v>
      </c>
      <c r="B9" t="str">
        <v>CNKD_Vũ Thị Thu Hương</v>
      </c>
      <c r="C9" t="str">
        <v>SONTV10_NVKDDB_LDG</v>
      </c>
      <c r="D9">
        <v>9</v>
      </c>
      <c r="E9">
        <v>3</v>
      </c>
      <c r="F9">
        <v>0.3333333333333333</v>
      </c>
    </row>
    <row r="10">
      <c r="A10" t="str">
        <v>LINHPM_LDG_CNKD</v>
      </c>
      <c r="B10" t="str">
        <v>CNKD_Phạm Mỹ Linh</v>
      </c>
      <c r="C10" t="str">
        <v>VIETDQ9_NVKDDB_LDG</v>
      </c>
      <c r="D10">
        <v>13</v>
      </c>
      <c r="E10">
        <v>7</v>
      </c>
      <c r="F10">
        <v>0.5384615384615384</v>
      </c>
    </row>
    <row r="11">
      <c r="A11" t="str">
        <v>LOANBTB_LDG_CNKD</v>
      </c>
      <c r="B11" t="str">
        <v>CNKD_Bùi Thị Bích Loan</v>
      </c>
      <c r="C11" t="str">
        <v>SENNT8_NVKDDB_LDG</v>
      </c>
      <c r="D11">
        <v>20</v>
      </c>
      <c r="E11">
        <v>35</v>
      </c>
      <c r="F11">
        <v>1.75</v>
      </c>
    </row>
    <row r="12">
      <c r="A12" t="str">
        <v>LONGNT_LDG_CNKD</v>
      </c>
      <c r="B12" t="str">
        <v>CNKD_Nguyễn Thành Long</v>
      </c>
      <c r="C12" t="str">
        <v>VIETDQ9_NVKDDB_LDG</v>
      </c>
      <c r="D12">
        <v>13</v>
      </c>
      <c r="E12">
        <v>12</v>
      </c>
      <c r="F12">
        <v>0.9230769230769231</v>
      </c>
    </row>
    <row r="13">
      <c r="A13" t="str">
        <v>NHUANVD_LDG_CNKD</v>
      </c>
      <c r="B13" t="str">
        <v>CNKD_Vũ Đức Nhuận</v>
      </c>
      <c r="C13" t="str">
        <v>VIETDQ9_NVKDDB_LDG</v>
      </c>
      <c r="D13">
        <v>13</v>
      </c>
      <c r="E13">
        <v>15</v>
      </c>
      <c r="F13">
        <v>1.1538461538461537</v>
      </c>
    </row>
    <row r="14">
      <c r="A14" t="str">
        <v>NHUNGPT_LDG_CNKD</v>
      </c>
      <c r="B14" t="str">
        <v>CNKD_Phạm Thị Nhung</v>
      </c>
      <c r="C14" t="str">
        <v>SENNT8_NVKDDB_LDG</v>
      </c>
      <c r="D14">
        <v>15</v>
      </c>
      <c r="E14">
        <v>18</v>
      </c>
      <c r="F14">
        <v>1.2</v>
      </c>
    </row>
    <row r="15">
      <c r="A15" t="str">
        <v>NHUYK_LDG_CNKD</v>
      </c>
      <c r="B15" t="str">
        <v>CNKD_Ka Nhụy</v>
      </c>
      <c r="C15" t="str">
        <v>SENNT8_NVKDDB_LDG</v>
      </c>
      <c r="D15">
        <v>15</v>
      </c>
      <c r="E15">
        <v>17</v>
      </c>
      <c r="F15">
        <v>1.1333333333333333</v>
      </c>
    </row>
    <row r="16">
      <c r="A16" t="str">
        <v>PHUONGNTT1_LDG_CNKD</v>
      </c>
      <c r="B16" t="str">
        <v>CNKD_Nguyễn Thị Thu Phượng</v>
      </c>
      <c r="C16" t="str">
        <v>SONTV10_NVKDDB_LDG</v>
      </c>
      <c r="D16">
        <v>15</v>
      </c>
      <c r="E16">
        <v>17</v>
      </c>
      <c r="F16">
        <v>1.1333333333333333</v>
      </c>
    </row>
    <row r="17">
      <c r="A17" t="str">
        <v>SANGLT_LDG_CNKD</v>
      </c>
      <c r="B17" t="str">
        <v>CNKD_Lê Thanh Sang</v>
      </c>
      <c r="C17" t="str">
        <v>VIETDQ9_NVKDDB_LDG</v>
      </c>
      <c r="D17">
        <v>13</v>
      </c>
      <c r="E17">
        <v>5</v>
      </c>
      <c r="F17">
        <v>0.38461538461538464</v>
      </c>
    </row>
    <row r="18">
      <c r="A18" t="str">
        <v>SANGTV_LDG_CNKD</v>
      </c>
      <c r="B18" t="str">
        <v>CNKD_Trương Văn Sang</v>
      </c>
      <c r="C18" t="str">
        <v>SONTV10_NVKDDB_LDG</v>
      </c>
      <c r="D18">
        <v>15</v>
      </c>
      <c r="E18">
        <v>7</v>
      </c>
      <c r="F18">
        <v>0.4666666666666667</v>
      </c>
    </row>
    <row r="19">
      <c r="A19" t="str">
        <v>SONNH_LDG_CNKD</v>
      </c>
      <c r="B19" t="str">
        <v>CNKD_Nguyễn Hồng Sơn</v>
      </c>
      <c r="C19" t="str">
        <v>SENNT8_NVKDDB_LDG</v>
      </c>
      <c r="D19">
        <v>13</v>
      </c>
      <c r="E19">
        <v>9</v>
      </c>
      <c r="F19">
        <v>0.6923076923076923</v>
      </c>
    </row>
    <row r="20">
      <c r="A20" t="str">
        <v>TAMDT_LDG_CNKD</v>
      </c>
      <c r="B20" t="str">
        <v>CNKD_Đặng Thị Tám</v>
      </c>
      <c r="C20" t="str">
        <v>SONTV10_NVKDDB_LDG</v>
      </c>
      <c r="D20">
        <v>15</v>
      </c>
      <c r="E20">
        <v>18</v>
      </c>
      <c r="F20">
        <v>1.2</v>
      </c>
    </row>
    <row r="21">
      <c r="A21" t="str">
        <v>THUONGNTH_LDG_CNKD</v>
      </c>
      <c r="B21" t="str">
        <v>CNKD_Nguyễn Thị Huyền Thương</v>
      </c>
      <c r="C21" t="str">
        <v>SONTV10_NVKDDB_LDG</v>
      </c>
      <c r="D21">
        <v>15</v>
      </c>
      <c r="E21">
        <v>16</v>
      </c>
      <c r="F21">
        <v>1.0666666666666667</v>
      </c>
    </row>
    <row r="22">
      <c r="A22" t="str">
        <v>VANVV_LDG_CNKD</v>
      </c>
      <c r="B22" t="str">
        <v>CNKD_Vòng Vĩnh Vân</v>
      </c>
      <c r="C22" t="str">
        <v>SENNT8_NVKDDB_LDG</v>
      </c>
      <c r="D22">
        <v>15</v>
      </c>
      <c r="E22">
        <v>16</v>
      </c>
      <c r="F22">
        <v>1.0666666666666667</v>
      </c>
    </row>
    <row r="23">
      <c r="A23" t="str">
        <v>HOPVQ_LDG_CNKD</v>
      </c>
      <c r="B23" t="str">
        <v>CNKD_Văn Quý Hợp</v>
      </c>
      <c r="C23" t="str">
        <v>SENNT8_NVKDDB_LDG</v>
      </c>
      <c r="D23">
        <v>3</v>
      </c>
      <c r="E23">
        <v>7</v>
      </c>
      <c r="F23">
        <v>2.3333333333333335</v>
      </c>
    </row>
    <row r="24">
      <c r="A24" t="str">
        <v>TUONGPK_LDG_CNKD</v>
      </c>
      <c r="B24" t="str">
        <v>CNKD_LDG_TUONGPK</v>
      </c>
      <c r="C24" t="str">
        <v>SONTV10_NVKDDB_LDG</v>
      </c>
      <c r="D24">
        <v>0</v>
      </c>
      <c r="E24">
        <v>0</v>
      </c>
    </row>
    <row r="25">
      <c r="A25" t="str">
        <v>MINHPTY_LDG_CNKD</v>
      </c>
      <c r="B25" t="str">
        <v>CNKD_LDG_MINHPTY</v>
      </c>
      <c r="C25" t="str">
        <v>VIETDQ9_NVKDDB_LDG</v>
      </c>
      <c r="D25">
        <v>0</v>
      </c>
      <c r="E25">
        <v>0</v>
      </c>
      <c r="F25">
        <f>D25-E25</f>
        <v>0</v>
      </c>
    </row>
    <row r="26">
      <c r="A26" t="str">
        <v>Laipt2_gdv_dvtm_ldg</v>
      </c>
      <c r="D26">
        <v>13</v>
      </c>
      <c r="E26">
        <v>18</v>
      </c>
      <c r="F26">
        <f>D26-E26</f>
        <v>-5</v>
      </c>
    </row>
  </sheetData>
  <autoFilter ref="A1:F31"/>
  <mergeCells count="6">
    <mergeCell ref="A1:A2"/>
    <mergeCell ref="D1:D2"/>
    <mergeCell ref="E1:E2"/>
    <mergeCell ref="F1:F2"/>
    <mergeCell ref="B1:B2"/>
    <mergeCell ref="C1:C2"/>
  </mergeCells>
  <pageMargins left="0.6999125161508876" right="0.6999125161508876" top="0.7499062639521802" bottom="0.7499062639521802" header="0.2999625102741512" footer="0.2999625102741512"/>
  <ignoredErrors>
    <ignoredError numberStoredAsText="1" sqref="A1:F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18"/>
  <sheetViews>
    <sheetView workbookViewId="0" rightToLeft="0"/>
  </sheetViews>
  <sheetData>
    <row r="1">
      <c r="C1" t="str">
        <v>Tháng 1</v>
      </c>
      <c r="D1" t="str">
        <v>Tháng 2</v>
      </c>
      <c r="E1" t="str">
        <v>Tháng 3</v>
      </c>
      <c r="F1" t="str">
        <v>Quý 1</v>
      </c>
      <c r="G1" t="str">
        <v>Tháng 4</v>
      </c>
      <c r="H1" t="str">
        <v>Tháng 5</v>
      </c>
      <c r="I1" t="str">
        <v>Tháng 6</v>
      </c>
      <c r="J1" t="str">
        <v>Quý 2</v>
      </c>
      <c r="K1" t="str">
        <v>Tháng 7</v>
      </c>
      <c r="L1" t="str">
        <v>Tháng 8</v>
      </c>
      <c r="M1" t="str">
        <v>Tháng 9</v>
      </c>
      <c r="N1" t="str">
        <v>Tháng 10</v>
      </c>
      <c r="O1" t="str">
        <v>Tháng 11</v>
      </c>
      <c r="P1" t="str">
        <v>Tháng 12</v>
      </c>
    </row>
    <row r="2">
      <c r="A2" t="str">
        <v>HKD_LDG_BLM_BINHNV</v>
      </c>
      <c r="B2" t="str">
        <v>NGUYỄN VĂN BÌNH</v>
      </c>
      <c r="C2">
        <v>1.0700860753766832</v>
      </c>
      <c r="D2">
        <v>1.09</v>
      </c>
      <c r="E2">
        <v>1.1343980473949962</v>
      </c>
      <c r="F2">
        <f>AVERAGE(C2:E2)</f>
        <v>1.0981613742572265</v>
      </c>
      <c r="G2">
        <v>1.044</v>
      </c>
      <c r="H2">
        <v>1.205</v>
      </c>
      <c r="I2">
        <v>1.085402053320086</v>
      </c>
      <c r="J2">
        <f>AVERAGE(G2:I2)</f>
        <v>1.1114673511066953</v>
      </c>
    </row>
    <row r="3">
      <c r="A3" t="str">
        <v>HKD_LDG_BLM_CAMDT</v>
      </c>
      <c r="B3" t="str">
        <v>Đặng Thị Cẩm</v>
      </c>
      <c r="C3">
        <v>1.2004136361731093</v>
      </c>
      <c r="D3">
        <v>1.16</v>
      </c>
      <c r="E3">
        <v>1.2141060071047474</v>
      </c>
      <c r="F3">
        <f>AVERAGE(C3:E3)</f>
        <v>1.1915065477592854</v>
      </c>
      <c r="G3">
        <v>1.151</v>
      </c>
      <c r="H3">
        <v>1.2025</v>
      </c>
      <c r="I3">
        <v>1.2106652681390924</v>
      </c>
      <c r="J3">
        <f>AVERAGE(G3:I3)</f>
        <v>1.1880550893796975</v>
      </c>
    </row>
    <row r="4">
      <c r="A4" t="str">
        <v>HKD_LDG_BLM_DATTQ</v>
      </c>
      <c r="B4" t="str">
        <v>Trần Quốc Đạt</v>
      </c>
      <c r="C4">
        <v>1.0876801556307152</v>
      </c>
      <c r="D4">
        <v>1.08</v>
      </c>
      <c r="E4">
        <v>1.086933261183261</v>
      </c>
      <c r="F4">
        <f>AVERAGE(C4:E4)</f>
        <v>1.0848711389379921</v>
      </c>
      <c r="G4">
        <v>1.004</v>
      </c>
      <c r="H4">
        <v>1.094</v>
      </c>
      <c r="I4">
        <v>1.0218277974692627</v>
      </c>
      <c r="J4">
        <f>AVERAGE(G4:I4)</f>
        <v>1.0399425991564208</v>
      </c>
    </row>
    <row r="5">
      <c r="A5" t="str">
        <v>HKD_LDG_BLM_DIEPNT</v>
      </c>
      <c r="B5" t="str">
        <v>Ngô Thị Điệp</v>
      </c>
      <c r="C5">
        <v>1.0719238865362244</v>
      </c>
      <c r="D5">
        <v>0.93</v>
      </c>
      <c r="E5">
        <v>0.9814603386809267</v>
      </c>
      <c r="F5">
        <f>AVERAGE(C5:E5)</f>
        <v>0.9944614084057171</v>
      </c>
      <c r="G5">
        <v>0.932</v>
      </c>
      <c r="H5">
        <v>1.073</v>
      </c>
      <c r="I5">
        <v>0.9128414472594801</v>
      </c>
      <c r="J5">
        <f>AVERAGE(G5:I5)</f>
        <v>0.9726138157531601</v>
      </c>
    </row>
    <row r="6">
      <c r="A6" t="str">
        <v>HKD_LDG_BLM_DONGHT</v>
      </c>
      <c r="B6" t="str">
        <v>HOÀNG TRUNG ĐÔNG</v>
      </c>
      <c r="C6">
        <v>1.09275962133105</v>
      </c>
      <c r="D6">
        <v>0.89</v>
      </c>
      <c r="E6">
        <v>0.9129880952380952</v>
      </c>
      <c r="F6">
        <f>AVERAGE(C6:E6)</f>
        <v>0.9652492388563817</v>
      </c>
      <c r="G6">
        <v>1.102</v>
      </c>
      <c r="H6">
        <v>1.131</v>
      </c>
      <c r="I6">
        <v>1.0536642515684915</v>
      </c>
      <c r="J6">
        <f>AVERAGE(G6:I6)</f>
        <v>1.0955547505228305</v>
      </c>
    </row>
    <row r="7">
      <c r="A7" t="str">
        <v>HKD_LDG_BLM_LIENNT</v>
      </c>
      <c r="B7" t="str">
        <v>NGYỄN THỊ LIÊN</v>
      </c>
      <c r="C7">
        <v>1.0884274315834424</v>
      </c>
      <c r="D7">
        <v>0.87</v>
      </c>
      <c r="E7">
        <v>0.9637475329917087</v>
      </c>
      <c r="F7">
        <f>AVERAGE(C7:E7)</f>
        <v>0.9740583215250503</v>
      </c>
      <c r="G7">
        <v>1.015</v>
      </c>
      <c r="H7">
        <v>1.087</v>
      </c>
      <c r="I7">
        <v>0.9528515482695807</v>
      </c>
      <c r="J7">
        <f>AVERAGE(G7:I7)</f>
        <v>1.0182838494231936</v>
      </c>
    </row>
    <row r="8">
      <c r="A8" t="str">
        <v>HKD_LDG_BLM_LINHPTH</v>
      </c>
      <c r="B8" t="str">
        <v>PHẠM THỊ HUYỀN LINH</v>
      </c>
      <c r="C8">
        <v>0.7336755793226382</v>
      </c>
      <c r="D8">
        <v>0.72</v>
      </c>
      <c r="E8">
        <v>0.524961038961039</v>
      </c>
      <c r="F8">
        <f>AVERAGE(C8:E8)</f>
        <v>0.6595455394278923</v>
      </c>
      <c r="G8">
        <v>0.855</v>
      </c>
      <c r="H8">
        <v>0.865</v>
      </c>
      <c r="I8">
        <v>0.8521922864183163</v>
      </c>
      <c r="J8">
        <f>AVERAGE(G8:I8)</f>
        <v>0.8573974288061055</v>
      </c>
    </row>
    <row r="9">
      <c r="A9" t="str">
        <v>HKD_LDG_BLM_LOANNT</v>
      </c>
      <c r="B9" t="str">
        <v>Nguyễn Thị Loan</v>
      </c>
      <c r="C9">
        <v>1.2102244642725695</v>
      </c>
      <c r="D9">
        <v>1.2</v>
      </c>
      <c r="E9">
        <v>1.2111616856943557</v>
      </c>
      <c r="F9">
        <f>AVERAGE(C9:E9)</f>
        <v>1.2071287166556417</v>
      </c>
      <c r="G9">
        <v>1.088</v>
      </c>
      <c r="H9">
        <v>1.218</v>
      </c>
      <c r="I9">
        <v>1.1173333333333333</v>
      </c>
      <c r="J9">
        <f>AVERAGE(G9:I9)</f>
        <v>1.1411111111111112</v>
      </c>
    </row>
    <row r="10">
      <c r="A10" t="str">
        <v>HKD_LDG_BLM_NGALTT</v>
      </c>
      <c r="B10" t="str">
        <v>Lê Thị Thanh Nga</v>
      </c>
      <c r="C10">
        <v>1.1761447812150654</v>
      </c>
      <c r="D10">
        <v>1.18</v>
      </c>
      <c r="E10">
        <v>1.096174949797476</v>
      </c>
      <c r="F10">
        <f>AVERAGE(C10:E10)</f>
        <v>1.150773243670847</v>
      </c>
      <c r="G10">
        <v>1.092</v>
      </c>
      <c r="H10">
        <v>1.09</v>
      </c>
      <c r="I10">
        <v>1.0489377728853417</v>
      </c>
      <c r="J10">
        <f>AVERAGE(G10:I10)</f>
        <v>1.0769792576284474</v>
      </c>
    </row>
    <row r="11">
      <c r="A11" t="str">
        <v>HKD_LDG_BLM_PHUONGHT</v>
      </c>
      <c r="B11" t="str">
        <v>HOÀNG THỊ BÍCH PHƯỢNG</v>
      </c>
      <c r="C11">
        <v>0.9239547430150852</v>
      </c>
      <c r="D11">
        <v>0.95</v>
      </c>
      <c r="E11">
        <v>1.0739999999999998</v>
      </c>
      <c r="F11">
        <f>AVERAGE(C11:E11)</f>
        <v>0.9826515810050284</v>
      </c>
      <c r="G11">
        <v>1.074</v>
      </c>
      <c r="H11">
        <v>1.169</v>
      </c>
      <c r="I11">
        <v>0.9766848816029144</v>
      </c>
      <c r="J11">
        <f>AVERAGE(G11:I11)</f>
        <v>1.0732282938676383</v>
      </c>
    </row>
    <row r="12">
      <c r="A12" t="str">
        <v>HKD_LDG_BLM_PHUONGTT</v>
      </c>
      <c r="B12" t="str">
        <v>TRẦN THỊ THANH PHƯƠNG</v>
      </c>
      <c r="C12">
        <v>0.3953849832615973</v>
      </c>
      <c r="D12">
        <v>0.36</v>
      </c>
      <c r="E12">
        <v>0.5442348484848485</v>
      </c>
      <c r="F12">
        <f>AVERAGE(C12:E12)</f>
        <v>0.4332066105821486</v>
      </c>
      <c r="G12">
        <v>0.573</v>
      </c>
      <c r="H12">
        <v>0.686</v>
      </c>
      <c r="I12">
        <v>0.6740737704918033</v>
      </c>
      <c r="J12">
        <f>AVERAGE(G12:I12)</f>
        <v>0.6443579234972677</v>
      </c>
    </row>
    <row r="13">
      <c r="A13" t="str">
        <v>HKD_LDG_BLM_QUANGNHD</v>
      </c>
      <c r="B13" t="str">
        <v>NGUYỄN HOÀNG DUY QUANG</v>
      </c>
      <c r="C13">
        <v>0.9443347802678173</v>
      </c>
      <c r="D13">
        <v>0.8</v>
      </c>
      <c r="E13">
        <v>1.0352574223835915</v>
      </c>
      <c r="F13">
        <f>AVERAGE(C13:E13)</f>
        <v>0.9265307342171362</v>
      </c>
      <c r="G13">
        <v>0.781</v>
      </c>
      <c r="H13">
        <v>0.895</v>
      </c>
      <c r="I13">
        <v>0.5784906096912511</v>
      </c>
      <c r="J13">
        <f>AVERAGE(G13:I13)</f>
        <v>0.7514968698970838</v>
      </c>
    </row>
    <row r="14">
      <c r="A14" t="str">
        <v>HKD_LDG_BLM_QUATND</v>
      </c>
      <c r="B14" t="str">
        <v>Nguyễn Đình Quát</v>
      </c>
      <c r="C14">
        <v>1.052406172940983</v>
      </c>
      <c r="D14">
        <v>1.01</v>
      </c>
      <c r="E14">
        <v>1.0804884887005288</v>
      </c>
      <c r="F14">
        <f>AVERAGE(C14:E14)</f>
        <v>1.0476315538805039</v>
      </c>
      <c r="G14">
        <v>1.069</v>
      </c>
      <c r="H14">
        <v>1.14</v>
      </c>
      <c r="I14">
        <v>0.9602185271162262</v>
      </c>
      <c r="J14">
        <f>AVERAGE(G14:I14)</f>
        <v>1.0564061757054086</v>
      </c>
    </row>
    <row r="15">
      <c r="B15" t="str">
        <v>Trịnh Ngọc Tâm</v>
      </c>
      <c r="H15">
        <v>0.729</v>
      </c>
      <c r="I15">
        <v>0.8450737704918032</v>
      </c>
      <c r="J15">
        <f>AVERAGE(G15:I15)</f>
        <v>0.7870368852459015</v>
      </c>
    </row>
    <row r="16">
      <c r="A16" t="str">
        <v>HKD_LDG_BLM_TRIHM</v>
      </c>
      <c r="B16" t="str">
        <v>HỒ MINH TRÍ</v>
      </c>
      <c r="C16">
        <v>1.1180109475791953</v>
      </c>
      <c r="D16">
        <v>1.13</v>
      </c>
      <c r="E16">
        <v>1.1364520157116569</v>
      </c>
      <c r="F16">
        <f>AVERAGE(C16:E16)</f>
        <v>1.128154321096951</v>
      </c>
      <c r="G16">
        <v>1.106</v>
      </c>
      <c r="H16">
        <v>1.149</v>
      </c>
      <c r="I16">
        <v>1.1386286646491872</v>
      </c>
      <c r="J16">
        <f>AVERAGE(G16:I16)</f>
        <v>1.1312095548830623</v>
      </c>
    </row>
    <row r="17">
      <c r="A17" t="str">
        <v>HKD_LDG_BLM_VUONGPT</v>
      </c>
      <c r="B17" t="str">
        <v>Phan Thế Vượng</v>
      </c>
      <c r="C17">
        <v>1.1053099312956651</v>
      </c>
      <c r="D17">
        <v>1.03</v>
      </c>
      <c r="E17">
        <v>1.083958704693999</v>
      </c>
      <c r="F17">
        <f>AVERAGE(C17:E17)</f>
        <v>1.073089545329888</v>
      </c>
      <c r="G17">
        <v>0.976</v>
      </c>
      <c r="H17">
        <v>1.092</v>
      </c>
      <c r="I17">
        <v>1.068469040283666</v>
      </c>
      <c r="J17">
        <f>AVERAGE(G17:I17)</f>
        <v>1.0454896800945555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P1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V20"/>
  <sheetViews>
    <sheetView workbookViewId="0" rightToLeft="0"/>
  </sheetViews>
  <sheetData>
    <row r="1">
      <c r="A1" t="str">
        <v>BẢNG GIAO CHỈ TIÊU THỰC HIỆN THEO NGÀY TỪ 10- 11 THÁNG 3/2024</v>
      </c>
      <c r="M1" t="str">
        <v>GIAO CHỈ TIÊU CNKD 2 NGÀY 26 VÀ 27</v>
      </c>
    </row>
    <row r="3">
      <c r="A3" t="str">
        <v>STT</v>
      </c>
      <c r="B3" t="str">
        <v>Nhân viên nhận chỉ tiêu</v>
      </c>
      <c r="C3" t="str">
        <v>TB FTTH phát triển mới</v>
      </c>
      <c r="D3" t="str">
        <v>Thuê  bao Supernnet</v>
      </c>
      <c r="E3" t="str">
        <v xml:space="preserve"> CAMERA</v>
      </c>
      <c r="F3" t="str">
        <v>Thuê bao trả sau PTM</v>
      </c>
      <c r="G3" t="str">
        <v>MUA GÓI 5G</v>
      </c>
      <c r="H3" t="str">
        <v>MUA GÓI STANDARD</v>
      </c>
      <c r="I3" t="str">
        <v>Truyền hình đôi dây</v>
      </c>
      <c r="J3" t="str">
        <v>Liên kết Thẻ Epass</v>
      </c>
      <c r="K3" t="str">
        <v>Sinh trắc học</v>
      </c>
      <c r="M3" t="str">
        <v>Nhân Viên</v>
      </c>
      <c r="N3" t="str">
        <v>Super net</v>
      </c>
      <c r="R3" t="str">
        <v>Giao ngày 26</v>
      </c>
      <c r="S3" t="str">
        <v>TB mua gói 5G</v>
      </c>
      <c r="W3" t="str">
        <v>Giao ngày 26</v>
      </c>
      <c r="X3" t="str">
        <v>Camera Đấu nối và bán đứt mua icloud</v>
      </c>
      <c r="AA3" t="str">
        <v>Giao ngày 26</v>
      </c>
      <c r="AC3" t="str">
        <v>THS Đôi dây PTM</v>
      </c>
      <c r="AG3" t="str">
        <v>Thuê Bao trả sau</v>
      </c>
      <c r="AK3" t="str">
        <v>Thuê bao GIC</v>
      </c>
      <c r="AO3" t="str">
        <v>Thuê bao mua gói 70K</v>
      </c>
      <c r="AS3" t="str">
        <v>Thuê bao  5G</v>
      </c>
    </row>
    <row r="4">
      <c r="C4">
        <f>SUM(C5:C19)</f>
        <v>15</v>
      </c>
      <c r="D4">
        <f>SUM(D5:D19)</f>
        <v>29</v>
      </c>
      <c r="E4">
        <f>SUM(E5:E19)</f>
        <v>18</v>
      </c>
      <c r="F4">
        <f>SUM(F5:F19)</f>
        <v>29</v>
      </c>
      <c r="G4">
        <f>SUM(G5:G19)</f>
        <v>96</v>
      </c>
      <c r="H4">
        <f>SUM(H5:H19)</f>
        <v>117</v>
      </c>
      <c r="I4">
        <f>SUM(I5:I19)</f>
        <v>35</v>
      </c>
      <c r="J4">
        <f>SUM(J5:J19)</f>
        <v>29</v>
      </c>
      <c r="K4">
        <f>SUM(K5:K19)</f>
        <v>134</v>
      </c>
      <c r="N4" t="str">
        <v>KH</v>
      </c>
      <c r="O4" t="str">
        <v>TH</v>
      </c>
      <c r="P4" t="str">
        <v>%</v>
      </c>
      <c r="Q4" t="str">
        <v>Thiếu</v>
      </c>
      <c r="S4" t="str">
        <v>KH</v>
      </c>
      <c r="T4" t="str">
        <v>TH</v>
      </c>
      <c r="U4" t="str">
        <v>%</v>
      </c>
      <c r="V4" t="str">
        <v>Thiếu</v>
      </c>
      <c r="X4" t="str">
        <v>KH</v>
      </c>
      <c r="Y4" t="str">
        <v>TH</v>
      </c>
      <c r="Z4" t="str">
        <v>%</v>
      </c>
      <c r="AB4" t="str">
        <v>Thiếu</v>
      </c>
      <c r="AC4" t="str">
        <v>KH</v>
      </c>
      <c r="AD4" t="str">
        <v>TH</v>
      </c>
      <c r="AE4" t="str">
        <v>%</v>
      </c>
      <c r="AF4" t="str">
        <v>Thiếu</v>
      </c>
      <c r="AG4" t="str">
        <v>KH</v>
      </c>
      <c r="AH4" t="str">
        <v>TH</v>
      </c>
      <c r="AI4" t="str">
        <v>%</v>
      </c>
      <c r="AJ4" t="str">
        <v>Thiếu</v>
      </c>
      <c r="AK4" t="str">
        <v>KH</v>
      </c>
      <c r="AL4" t="str">
        <v>TH</v>
      </c>
      <c r="AM4" t="str">
        <v>%</v>
      </c>
      <c r="AN4" t="str">
        <v>Thiếu</v>
      </c>
      <c r="AO4" t="str">
        <v>KH</v>
      </c>
      <c r="AP4" t="str">
        <v>TH</v>
      </c>
      <c r="AQ4" t="str">
        <v>%</v>
      </c>
      <c r="AR4" t="str">
        <v>Thiếu</v>
      </c>
      <c r="AS4" t="str">
        <v>KH</v>
      </c>
      <c r="AT4" t="str">
        <v>TH</v>
      </c>
      <c r="AU4" t="str">
        <v>%</v>
      </c>
      <c r="AV4" t="str">
        <v>Thiếu</v>
      </c>
    </row>
    <row r="5">
      <c r="A5">
        <v>1</v>
      </c>
      <c r="B5" t="str">
        <v>NGUYỄN VĂN BÌNh</v>
      </c>
      <c r="C5">
        <v>1</v>
      </c>
      <c r="D5">
        <v>3</v>
      </c>
      <c r="E5">
        <v>1</v>
      </c>
      <c r="F5">
        <v>2</v>
      </c>
      <c r="G5">
        <v>12</v>
      </c>
      <c r="H5">
        <v>1</v>
      </c>
      <c r="I5">
        <v>2</v>
      </c>
      <c r="J5">
        <v>2</v>
      </c>
      <c r="K5">
        <v>10</v>
      </c>
      <c r="M5" t="str">
        <v>NGUYỄN VĂN BÌNh</v>
      </c>
      <c r="N5">
        <v>9</v>
      </c>
      <c r="O5">
        <v>9</v>
      </c>
      <c r="P5">
        <v>1</v>
      </c>
      <c r="Q5">
        <f>O5-N5</f>
        <v>0</v>
      </c>
      <c r="S5">
        <v>30</v>
      </c>
      <c r="T5">
        <v>31</v>
      </c>
      <c r="U5">
        <v>1.0333333333333334</v>
      </c>
      <c r="V5">
        <v>-1</v>
      </c>
      <c r="X5">
        <v>3</v>
      </c>
      <c r="Y5">
        <v>3</v>
      </c>
      <c r="Z5">
        <v>1</v>
      </c>
      <c r="AB5">
        <v>0</v>
      </c>
      <c r="AC5">
        <v>8</v>
      </c>
      <c r="AD5">
        <v>11</v>
      </c>
      <c r="AE5">
        <v>1.375</v>
      </c>
      <c r="AF5">
        <v>-3</v>
      </c>
      <c r="AG5">
        <v>2</v>
      </c>
      <c r="AH5">
        <v>2</v>
      </c>
      <c r="AI5">
        <v>1</v>
      </c>
      <c r="AJ5">
        <v>0</v>
      </c>
      <c r="AK5">
        <v>85</v>
      </c>
      <c r="AL5">
        <v>118</v>
      </c>
      <c r="AM5">
        <v>1.388235294117647</v>
      </c>
      <c r="AN5">
        <v>-33</v>
      </c>
      <c r="AO5">
        <v>30</v>
      </c>
      <c r="AP5">
        <v>31</v>
      </c>
      <c r="AQ5">
        <v>1.0333333333333334</v>
      </c>
      <c r="AR5">
        <v>-1</v>
      </c>
      <c r="AS5" t="e">
        <f>'Giao CT'!#REF!</f>
        <v>#REF!</v>
      </c>
      <c r="AT5" t="e">
        <f>VLOOKUP($B$5:$B$20,#REF!,68,0)</f>
        <v>#REF!</v>
      </c>
      <c r="AU5">
        <f>IFERROR(AT5/AS5,0)</f>
        <v>0</v>
      </c>
      <c r="AV5" t="e">
        <f>AS5-AT5</f>
        <v>#REF!</v>
      </c>
    </row>
    <row r="6">
      <c r="A6">
        <v>2</v>
      </c>
      <c r="B6" t="str">
        <v>Đặng Thị Cẩm</v>
      </c>
      <c r="C6">
        <v>1</v>
      </c>
      <c r="D6">
        <v>1</v>
      </c>
      <c r="E6">
        <v>2</v>
      </c>
      <c r="F6">
        <v>1</v>
      </c>
      <c r="G6">
        <v>3</v>
      </c>
      <c r="H6">
        <v>2</v>
      </c>
      <c r="I6">
        <v>2</v>
      </c>
      <c r="J6">
        <v>2</v>
      </c>
      <c r="K6">
        <v>10</v>
      </c>
      <c r="M6" t="str">
        <v>Đặng Thị Cẩm</v>
      </c>
      <c r="N6">
        <v>10</v>
      </c>
      <c r="O6">
        <v>13</v>
      </c>
      <c r="P6">
        <v>1.3</v>
      </c>
      <c r="Q6">
        <f>O6-N6</f>
        <v>3</v>
      </c>
      <c r="S6">
        <v>30</v>
      </c>
      <c r="T6">
        <v>34</v>
      </c>
      <c r="U6">
        <v>1.1333333333333333</v>
      </c>
      <c r="V6">
        <v>-4</v>
      </c>
      <c r="X6">
        <v>2</v>
      </c>
      <c r="Y6">
        <v>2</v>
      </c>
      <c r="Z6">
        <v>1</v>
      </c>
      <c r="AB6">
        <v>0</v>
      </c>
      <c r="AC6">
        <v>9</v>
      </c>
      <c r="AD6">
        <v>13</v>
      </c>
      <c r="AE6">
        <v>1.4444444444444444</v>
      </c>
      <c r="AF6">
        <v>-4</v>
      </c>
      <c r="AG6">
        <v>1</v>
      </c>
      <c r="AH6">
        <v>3</v>
      </c>
      <c r="AI6">
        <v>3</v>
      </c>
      <c r="AJ6">
        <v>-2</v>
      </c>
      <c r="AK6">
        <v>85</v>
      </c>
      <c r="AL6">
        <v>93</v>
      </c>
      <c r="AM6">
        <v>1.0941176470588236</v>
      </c>
      <c r="AN6">
        <v>-8</v>
      </c>
      <c r="AO6">
        <v>30</v>
      </c>
      <c r="AP6">
        <v>34</v>
      </c>
      <c r="AQ6">
        <v>1.1333333333333333</v>
      </c>
      <c r="AR6">
        <v>-4</v>
      </c>
      <c r="AS6" t="e">
        <f>'Giao CT'!#REF!</f>
        <v>#REF!</v>
      </c>
      <c r="AT6" t="e">
        <f>VLOOKUP($B$5:$B$20,#REF!,68,0)</f>
        <v>#REF!</v>
      </c>
      <c r="AU6">
        <f>IFERROR(AT6/AS6,0)</f>
        <v>0</v>
      </c>
      <c r="AV6" t="e">
        <f>AS6-AT6</f>
        <v>#REF!</v>
      </c>
    </row>
    <row r="7">
      <c r="A7">
        <v>3</v>
      </c>
      <c r="B7" t="str">
        <v>Trần Quốc Đạt</v>
      </c>
      <c r="C7">
        <v>1</v>
      </c>
      <c r="D7">
        <v>2</v>
      </c>
      <c r="E7">
        <v>2</v>
      </c>
      <c r="F7">
        <v>3</v>
      </c>
      <c r="G7">
        <v>12</v>
      </c>
      <c r="H7">
        <v>12</v>
      </c>
      <c r="I7">
        <v>2</v>
      </c>
      <c r="J7">
        <v>2</v>
      </c>
      <c r="K7">
        <v>10</v>
      </c>
      <c r="M7" t="str">
        <v>Trần Quốc Đạt</v>
      </c>
      <c r="N7">
        <v>9</v>
      </c>
      <c r="O7">
        <v>8</v>
      </c>
      <c r="P7">
        <v>0.8888888888888888</v>
      </c>
      <c r="Q7">
        <f>O7-N7</f>
        <v>-1</v>
      </c>
      <c r="S7">
        <v>30</v>
      </c>
      <c r="T7">
        <v>18</v>
      </c>
      <c r="U7">
        <v>0.6</v>
      </c>
      <c r="V7">
        <v>12</v>
      </c>
      <c r="W7">
        <v>12</v>
      </c>
      <c r="X7">
        <v>3</v>
      </c>
      <c r="Y7">
        <v>2</v>
      </c>
      <c r="Z7">
        <v>0.6666666666666666</v>
      </c>
      <c r="AA7">
        <v>1</v>
      </c>
      <c r="AB7">
        <v>1</v>
      </c>
      <c r="AC7">
        <v>8</v>
      </c>
      <c r="AD7">
        <v>7</v>
      </c>
      <c r="AE7">
        <v>0.875</v>
      </c>
      <c r="AF7">
        <v>1</v>
      </c>
      <c r="AG7">
        <v>1</v>
      </c>
      <c r="AH7">
        <v>0</v>
      </c>
      <c r="AI7">
        <v>0</v>
      </c>
      <c r="AJ7">
        <v>1</v>
      </c>
      <c r="AK7">
        <v>85</v>
      </c>
      <c r="AL7">
        <v>84</v>
      </c>
      <c r="AM7">
        <v>0.9882352941176471</v>
      </c>
      <c r="AN7">
        <v>1</v>
      </c>
      <c r="AO7">
        <v>30</v>
      </c>
      <c r="AP7">
        <v>18</v>
      </c>
      <c r="AQ7">
        <v>0.6</v>
      </c>
      <c r="AR7">
        <v>12</v>
      </c>
      <c r="AS7" t="e">
        <f>'Giao CT'!#REF!</f>
        <v>#REF!</v>
      </c>
      <c r="AT7" t="e">
        <f>VLOOKUP($B$5:$B$20,#REF!,68,0)</f>
        <v>#REF!</v>
      </c>
      <c r="AU7">
        <f>IFERROR(AT7/AS7,0)</f>
        <v>0</v>
      </c>
      <c r="AV7" t="e">
        <f>AS7-AT7</f>
        <v>#REF!</v>
      </c>
    </row>
    <row r="8">
      <c r="A8">
        <v>4</v>
      </c>
      <c r="B8" t="str">
        <v>Ngô Thị Điệp</v>
      </c>
      <c r="C8">
        <v>1</v>
      </c>
      <c r="D8">
        <v>2</v>
      </c>
      <c r="E8">
        <v>2</v>
      </c>
      <c r="F8">
        <v>2</v>
      </c>
      <c r="G8">
        <v>0</v>
      </c>
      <c r="H8">
        <v>12</v>
      </c>
      <c r="I8">
        <v>3</v>
      </c>
      <c r="J8">
        <v>2</v>
      </c>
      <c r="K8">
        <v>10</v>
      </c>
      <c r="M8" t="str">
        <v>Ngô Thị Điệp</v>
      </c>
      <c r="N8">
        <v>9</v>
      </c>
      <c r="O8">
        <v>3</v>
      </c>
      <c r="P8">
        <v>0.3333333333333333</v>
      </c>
      <c r="Q8">
        <f>O8-N8</f>
        <v>-6</v>
      </c>
      <c r="R8">
        <v>3</v>
      </c>
      <c r="S8">
        <v>30</v>
      </c>
      <c r="T8">
        <v>30</v>
      </c>
      <c r="U8">
        <v>1</v>
      </c>
      <c r="V8">
        <v>0</v>
      </c>
      <c r="X8">
        <v>3</v>
      </c>
      <c r="Y8">
        <v>3</v>
      </c>
      <c r="Z8">
        <v>1</v>
      </c>
      <c r="AB8">
        <v>0</v>
      </c>
      <c r="AC8">
        <v>9</v>
      </c>
      <c r="AD8">
        <v>4</v>
      </c>
      <c r="AE8">
        <v>0.4444444444444444</v>
      </c>
      <c r="AF8">
        <v>5</v>
      </c>
      <c r="AG8">
        <v>1</v>
      </c>
      <c r="AH8">
        <v>0</v>
      </c>
      <c r="AI8">
        <v>0</v>
      </c>
      <c r="AJ8">
        <v>1</v>
      </c>
      <c r="AK8">
        <v>85</v>
      </c>
      <c r="AL8">
        <v>118</v>
      </c>
      <c r="AM8">
        <v>1.388235294117647</v>
      </c>
      <c r="AN8">
        <v>-33</v>
      </c>
      <c r="AO8">
        <v>30</v>
      </c>
      <c r="AP8">
        <v>30</v>
      </c>
      <c r="AQ8">
        <v>1</v>
      </c>
      <c r="AR8">
        <v>0</v>
      </c>
      <c r="AS8" t="e">
        <f>'Giao CT'!#REF!</f>
        <v>#REF!</v>
      </c>
      <c r="AT8" t="e">
        <f>VLOOKUP($B$5:$B$20,#REF!,68,0)</f>
        <v>#REF!</v>
      </c>
      <c r="AU8">
        <f>IFERROR(AT8/AS8,0)</f>
        <v>0</v>
      </c>
      <c r="AV8" t="e">
        <f>AS8-AT8</f>
        <v>#REF!</v>
      </c>
    </row>
    <row r="9">
      <c r="A9">
        <v>5</v>
      </c>
      <c r="B9" t="str">
        <v>Hoàng Trung Đông</v>
      </c>
      <c r="C9">
        <v>1</v>
      </c>
      <c r="D9">
        <v>2</v>
      </c>
      <c r="E9">
        <v>1</v>
      </c>
      <c r="F9">
        <v>2</v>
      </c>
      <c r="G9">
        <v>12</v>
      </c>
      <c r="H9">
        <v>3</v>
      </c>
      <c r="I9">
        <v>2</v>
      </c>
      <c r="J9">
        <v>2</v>
      </c>
      <c r="K9">
        <v>10</v>
      </c>
      <c r="M9" t="str">
        <v>Hoàng Trung ĐÔng</v>
      </c>
      <c r="N9">
        <v>8</v>
      </c>
      <c r="O9">
        <v>6</v>
      </c>
      <c r="P9">
        <v>0.75</v>
      </c>
      <c r="Q9">
        <f>O9-N9</f>
        <v>-2</v>
      </c>
      <c r="R9">
        <v>1</v>
      </c>
      <c r="S9">
        <v>30</v>
      </c>
      <c r="T9">
        <v>12</v>
      </c>
      <c r="U9">
        <v>0.4</v>
      </c>
      <c r="V9">
        <v>18</v>
      </c>
      <c r="W9">
        <v>18</v>
      </c>
      <c r="X9">
        <v>3</v>
      </c>
      <c r="Y9">
        <v>3</v>
      </c>
      <c r="Z9">
        <v>1</v>
      </c>
      <c r="AB9">
        <v>0</v>
      </c>
      <c r="AC9">
        <v>8</v>
      </c>
      <c r="AD9">
        <v>7</v>
      </c>
      <c r="AE9">
        <v>0.875</v>
      </c>
      <c r="AF9">
        <v>1</v>
      </c>
      <c r="AG9">
        <v>1</v>
      </c>
      <c r="AH9">
        <v>2</v>
      </c>
      <c r="AI9">
        <v>2</v>
      </c>
      <c r="AJ9">
        <v>-1</v>
      </c>
      <c r="AK9">
        <v>71</v>
      </c>
      <c r="AL9">
        <v>74</v>
      </c>
      <c r="AM9">
        <v>1.0422535211267605</v>
      </c>
      <c r="AN9">
        <v>-3</v>
      </c>
      <c r="AO9">
        <v>30</v>
      </c>
      <c r="AP9">
        <v>12</v>
      </c>
      <c r="AQ9">
        <v>0.4</v>
      </c>
      <c r="AR9">
        <v>18</v>
      </c>
      <c r="AS9" t="e">
        <f>'Giao CT'!#REF!</f>
        <v>#REF!</v>
      </c>
      <c r="AT9" t="e">
        <f>VLOOKUP($B$5:$B$20,#REF!,68,0)</f>
        <v>#REF!</v>
      </c>
      <c r="AU9">
        <f>IFERROR(AT9/AS9,0)</f>
        <v>0</v>
      </c>
      <c r="AV9" t="e">
        <f>AS9-AT9</f>
        <v>#REF!</v>
      </c>
    </row>
    <row r="10">
      <c r="A10">
        <v>7</v>
      </c>
      <c r="B10" t="str">
        <v>NGYỄN THỊ LIÊN</v>
      </c>
      <c r="C10">
        <v>1</v>
      </c>
      <c r="D10">
        <v>2</v>
      </c>
      <c r="E10">
        <v>1</v>
      </c>
      <c r="F10">
        <v>2</v>
      </c>
      <c r="G10">
        <v>12</v>
      </c>
      <c r="H10">
        <v>12</v>
      </c>
      <c r="I10">
        <v>2</v>
      </c>
      <c r="J10">
        <v>2</v>
      </c>
      <c r="K10">
        <v>10</v>
      </c>
      <c r="M10" t="str">
        <v>NGYỄN THỊ LIÊN</v>
      </c>
      <c r="N10">
        <v>9</v>
      </c>
      <c r="O10">
        <v>6</v>
      </c>
      <c r="P10">
        <v>0.6666666666666666</v>
      </c>
      <c r="Q10">
        <f>O10-N10</f>
        <v>-3</v>
      </c>
      <c r="R10">
        <v>1</v>
      </c>
      <c r="S10">
        <v>30</v>
      </c>
      <c r="T10">
        <v>24</v>
      </c>
      <c r="U10">
        <v>0.8</v>
      </c>
      <c r="V10">
        <v>6</v>
      </c>
      <c r="W10">
        <v>6</v>
      </c>
      <c r="X10">
        <v>3</v>
      </c>
      <c r="Y10">
        <v>3</v>
      </c>
      <c r="Z10">
        <v>1</v>
      </c>
      <c r="AB10">
        <v>0</v>
      </c>
      <c r="AC10">
        <v>8</v>
      </c>
      <c r="AD10">
        <v>5</v>
      </c>
      <c r="AE10">
        <v>0.625</v>
      </c>
      <c r="AF10">
        <v>3</v>
      </c>
      <c r="AG10">
        <v>1</v>
      </c>
      <c r="AH10">
        <v>1</v>
      </c>
      <c r="AI10">
        <v>1</v>
      </c>
      <c r="AJ10">
        <v>0</v>
      </c>
      <c r="AK10">
        <v>75</v>
      </c>
      <c r="AL10">
        <v>45</v>
      </c>
      <c r="AM10">
        <v>0.6</v>
      </c>
      <c r="AN10">
        <v>30</v>
      </c>
      <c r="AO10">
        <v>30</v>
      </c>
      <c r="AP10">
        <v>24</v>
      </c>
      <c r="AQ10">
        <v>0.8</v>
      </c>
      <c r="AR10">
        <v>6</v>
      </c>
      <c r="AS10" t="e">
        <f>'Giao CT'!#REF!</f>
        <v>#REF!</v>
      </c>
      <c r="AT10" t="e">
        <f>VLOOKUP($B$5:$B$20,#REF!,68,0)</f>
        <v>#REF!</v>
      </c>
      <c r="AU10">
        <f>IFERROR(AT10/AS10,0)</f>
        <v>0</v>
      </c>
      <c r="AV10" t="e">
        <f>AS10-AT10</f>
        <v>#REF!</v>
      </c>
    </row>
    <row r="11">
      <c r="A11">
        <v>8</v>
      </c>
      <c r="B11" t="str">
        <v>PHẠM THỊ HUYỀN LINH</v>
      </c>
      <c r="C11">
        <v>1</v>
      </c>
      <c r="D11">
        <v>2</v>
      </c>
      <c r="E11">
        <v>1</v>
      </c>
      <c r="F11">
        <v>2</v>
      </c>
      <c r="G11">
        <v>12</v>
      </c>
      <c r="H11">
        <v>0</v>
      </c>
      <c r="I11">
        <v>3</v>
      </c>
      <c r="J11">
        <v>2</v>
      </c>
      <c r="K11">
        <v>10</v>
      </c>
      <c r="M11" t="str">
        <v>PHẠM THỊ HUYỀN LINH</v>
      </c>
      <c r="N11">
        <v>9</v>
      </c>
      <c r="O11">
        <v>8</v>
      </c>
      <c r="P11">
        <v>0.8888888888888888</v>
      </c>
      <c r="Q11">
        <f>O11-N11</f>
        <v>-1</v>
      </c>
      <c r="S11">
        <v>24</v>
      </c>
      <c r="T11">
        <v>24</v>
      </c>
      <c r="U11">
        <v>1</v>
      </c>
      <c r="V11">
        <v>0</v>
      </c>
      <c r="X11">
        <v>3</v>
      </c>
      <c r="Y11">
        <v>2</v>
      </c>
      <c r="Z11">
        <v>0.66</v>
      </c>
      <c r="AB11">
        <v>2</v>
      </c>
      <c r="AC11">
        <v>7</v>
      </c>
      <c r="AD11">
        <v>4</v>
      </c>
      <c r="AE11">
        <v>0.5714285714285714</v>
      </c>
      <c r="AF11">
        <v>3</v>
      </c>
      <c r="AG11">
        <v>1</v>
      </c>
      <c r="AH11">
        <v>1</v>
      </c>
      <c r="AI11">
        <v>1</v>
      </c>
      <c r="AJ11">
        <v>0</v>
      </c>
      <c r="AK11">
        <v>80</v>
      </c>
      <c r="AL11">
        <v>46</v>
      </c>
      <c r="AM11">
        <v>0.575</v>
      </c>
      <c r="AN11">
        <v>34</v>
      </c>
      <c r="AO11">
        <v>24</v>
      </c>
      <c r="AP11">
        <v>24</v>
      </c>
      <c r="AQ11">
        <v>1</v>
      </c>
      <c r="AR11">
        <v>0</v>
      </c>
      <c r="AS11" t="e">
        <f>'Giao CT'!#REF!</f>
        <v>#REF!</v>
      </c>
      <c r="AT11" t="e">
        <f>VLOOKUP($B$5:$B$20,#REF!,68,0)</f>
        <v>#REF!</v>
      </c>
      <c r="AU11">
        <f>IFERROR(AT11/AS11,0)</f>
        <v>0</v>
      </c>
      <c r="AV11" t="e">
        <f>AS11-AT11</f>
        <v>#REF!</v>
      </c>
    </row>
    <row r="12">
      <c r="A12">
        <v>9</v>
      </c>
      <c r="B12" t="str">
        <v>Nguyễn Thị Loan</v>
      </c>
      <c r="C12">
        <v>1</v>
      </c>
      <c r="D12">
        <v>2</v>
      </c>
      <c r="E12">
        <v>0</v>
      </c>
      <c r="F12">
        <v>2</v>
      </c>
      <c r="G12">
        <v>3</v>
      </c>
      <c r="H12">
        <v>12</v>
      </c>
      <c r="I12">
        <v>2</v>
      </c>
      <c r="J12">
        <v>2</v>
      </c>
      <c r="K12">
        <v>10</v>
      </c>
      <c r="M12" t="str">
        <v>Nguyễn Thị Loan</v>
      </c>
      <c r="N12">
        <v>9</v>
      </c>
      <c r="O12">
        <v>7</v>
      </c>
      <c r="P12">
        <v>0.7777777777777778</v>
      </c>
      <c r="Q12">
        <f>O12-N12</f>
        <v>-2</v>
      </c>
      <c r="R12">
        <v>1</v>
      </c>
      <c r="S12">
        <v>30</v>
      </c>
      <c r="T12">
        <v>26</v>
      </c>
      <c r="U12">
        <v>0.8666666666666667</v>
      </c>
      <c r="V12">
        <v>4</v>
      </c>
      <c r="W12">
        <v>4</v>
      </c>
      <c r="X12">
        <v>3</v>
      </c>
      <c r="Y12">
        <v>2</v>
      </c>
      <c r="Z12">
        <v>0.6666666666666666</v>
      </c>
      <c r="AA12">
        <v>1</v>
      </c>
      <c r="AB12">
        <v>1</v>
      </c>
      <c r="AC12">
        <v>8</v>
      </c>
      <c r="AD12">
        <v>10</v>
      </c>
      <c r="AE12">
        <v>1.25</v>
      </c>
      <c r="AF12">
        <v>-2</v>
      </c>
      <c r="AG12">
        <v>1</v>
      </c>
      <c r="AH12">
        <v>1</v>
      </c>
      <c r="AI12">
        <v>1</v>
      </c>
      <c r="AJ12">
        <v>0</v>
      </c>
      <c r="AK12">
        <v>85</v>
      </c>
      <c r="AL12">
        <v>120</v>
      </c>
      <c r="AM12">
        <v>1.411764705882353</v>
      </c>
      <c r="AN12">
        <v>-35</v>
      </c>
      <c r="AO12">
        <v>30</v>
      </c>
      <c r="AP12">
        <v>26</v>
      </c>
      <c r="AQ12">
        <v>0.8666666666666667</v>
      </c>
      <c r="AR12">
        <v>4</v>
      </c>
      <c r="AS12" t="e">
        <f>'Giao CT'!#REF!</f>
        <v>#REF!</v>
      </c>
      <c r="AT12" t="e">
        <f>VLOOKUP($B$5:$B$20,#REF!,68,0)</f>
        <v>#REF!</v>
      </c>
      <c r="AU12">
        <f>IFERROR(AT12/AS12,0)</f>
        <v>0</v>
      </c>
      <c r="AV12" t="e">
        <f>AS12-AT12</f>
        <v>#REF!</v>
      </c>
    </row>
    <row r="13">
      <c r="A13">
        <v>10</v>
      </c>
      <c r="B13" t="str">
        <v>Lê Thị Thanh Nga</v>
      </c>
      <c r="C13">
        <v>1</v>
      </c>
      <c r="D13">
        <v>2</v>
      </c>
      <c r="E13">
        <v>0</v>
      </c>
      <c r="F13">
        <v>2</v>
      </c>
      <c r="G13">
        <v>6</v>
      </c>
      <c r="H13">
        <v>6</v>
      </c>
      <c r="I13">
        <v>2</v>
      </c>
      <c r="J13">
        <v>2</v>
      </c>
      <c r="K13">
        <v>10</v>
      </c>
      <c r="M13" t="str">
        <v>Lê Thị Thanh Nga</v>
      </c>
      <c r="N13">
        <v>10</v>
      </c>
      <c r="O13">
        <v>11</v>
      </c>
      <c r="P13">
        <v>1.1</v>
      </c>
      <c r="Q13">
        <f>O13-N13</f>
        <v>1</v>
      </c>
      <c r="S13">
        <v>30</v>
      </c>
      <c r="T13">
        <v>25</v>
      </c>
      <c r="U13">
        <v>0.8333333333333334</v>
      </c>
      <c r="V13">
        <v>5</v>
      </c>
      <c r="W13">
        <v>5</v>
      </c>
      <c r="X13">
        <v>3</v>
      </c>
      <c r="Y13">
        <v>2</v>
      </c>
      <c r="Z13">
        <v>0.6666666666666666</v>
      </c>
      <c r="AA13">
        <v>1</v>
      </c>
      <c r="AB13">
        <v>1</v>
      </c>
      <c r="AC13">
        <v>8</v>
      </c>
      <c r="AD13">
        <v>12</v>
      </c>
      <c r="AE13">
        <v>1.5</v>
      </c>
      <c r="AF13">
        <v>-4</v>
      </c>
      <c r="AG13">
        <v>1</v>
      </c>
      <c r="AH13">
        <v>3</v>
      </c>
      <c r="AI13">
        <v>3</v>
      </c>
      <c r="AJ13">
        <v>-2</v>
      </c>
      <c r="AK13">
        <v>80</v>
      </c>
      <c r="AL13">
        <v>98</v>
      </c>
      <c r="AM13">
        <v>1.225</v>
      </c>
      <c r="AN13">
        <v>-18</v>
      </c>
      <c r="AO13">
        <v>30</v>
      </c>
      <c r="AP13">
        <v>25</v>
      </c>
      <c r="AQ13">
        <v>0.8333333333333334</v>
      </c>
      <c r="AR13">
        <v>5</v>
      </c>
      <c r="AS13" t="e">
        <f>'Giao CT'!#REF!</f>
        <v>#REF!</v>
      </c>
      <c r="AT13" t="e">
        <f>VLOOKUP($B$5:$B$20,#REF!,68,0)</f>
        <v>#REF!</v>
      </c>
      <c r="AU13">
        <f>IFERROR(AT13/AS13,0)</f>
        <v>0</v>
      </c>
      <c r="AV13" t="e">
        <f>AS13-AT13</f>
        <v>#REF!</v>
      </c>
    </row>
    <row r="14">
      <c r="A14">
        <v>11</v>
      </c>
      <c r="B14" t="str">
        <v>HOÀNG THỊ BÍCH PHƯỢNG</v>
      </c>
      <c r="C14">
        <v>1</v>
      </c>
      <c r="D14">
        <v>1</v>
      </c>
      <c r="E14">
        <v>1</v>
      </c>
      <c r="F14">
        <v>1</v>
      </c>
      <c r="G14">
        <v>3</v>
      </c>
      <c r="H14">
        <v>12</v>
      </c>
      <c r="I14">
        <v>3</v>
      </c>
      <c r="J14">
        <v>2</v>
      </c>
      <c r="K14">
        <v>2</v>
      </c>
      <c r="M14" t="str">
        <v>HOÀNG THỊ BÍCH PHƯỢNG</v>
      </c>
      <c r="N14">
        <v>2</v>
      </c>
      <c r="O14">
        <v>2</v>
      </c>
      <c r="P14">
        <v>1</v>
      </c>
      <c r="Q14">
        <f>O14-N14</f>
        <v>0</v>
      </c>
      <c r="S14">
        <v>24</v>
      </c>
      <c r="T14">
        <v>18</v>
      </c>
      <c r="U14">
        <v>0.75</v>
      </c>
      <c r="V14">
        <v>6</v>
      </c>
      <c r="W14">
        <v>6</v>
      </c>
      <c r="X14">
        <v>1</v>
      </c>
      <c r="Y14">
        <v>1</v>
      </c>
      <c r="Z14">
        <v>1</v>
      </c>
      <c r="AB14">
        <v>0</v>
      </c>
      <c r="AC14">
        <v>3</v>
      </c>
      <c r="AD14">
        <v>3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36</v>
      </c>
      <c r="AL14">
        <v>55</v>
      </c>
      <c r="AM14">
        <v>1.5277777777777777</v>
      </c>
      <c r="AN14">
        <v>-19</v>
      </c>
      <c r="AO14">
        <v>24</v>
      </c>
      <c r="AP14">
        <v>18</v>
      </c>
      <c r="AQ14">
        <v>0.75</v>
      </c>
      <c r="AR14">
        <v>6</v>
      </c>
      <c r="AS14" t="e">
        <f>'Giao CT'!#REF!</f>
        <v>#REF!</v>
      </c>
      <c r="AT14" t="e">
        <f>VLOOKUP($B$5:$B$20,#REF!,68,0)</f>
        <v>#REF!</v>
      </c>
      <c r="AU14">
        <f>IFERROR(AT14/AS14,0)</f>
        <v>0</v>
      </c>
      <c r="AV14" t="e">
        <f>AS14-AT14</f>
        <v>#REF!</v>
      </c>
    </row>
    <row r="15">
      <c r="A15">
        <v>12</v>
      </c>
      <c r="B15" t="str">
        <v>TRẦN THỊ THANH PHƯƠNG</v>
      </c>
      <c r="C15">
        <v>1</v>
      </c>
      <c r="D15">
        <v>1</v>
      </c>
      <c r="E15">
        <v>0</v>
      </c>
      <c r="F15">
        <v>1</v>
      </c>
      <c r="G15">
        <v>6</v>
      </c>
      <c r="H15">
        <v>12</v>
      </c>
      <c r="I15">
        <v>3</v>
      </c>
      <c r="J15">
        <v>1</v>
      </c>
      <c r="K15">
        <v>2</v>
      </c>
      <c r="M15" t="str">
        <v>TRẦN THỊ THANH PHƯƠNG</v>
      </c>
      <c r="N15">
        <v>3</v>
      </c>
      <c r="O15">
        <v>0</v>
      </c>
      <c r="P15">
        <v>0</v>
      </c>
      <c r="Q15">
        <f>O15-N15</f>
        <v>-3</v>
      </c>
      <c r="R15">
        <v>2</v>
      </c>
      <c r="S15">
        <v>12</v>
      </c>
      <c r="T15">
        <v>0</v>
      </c>
      <c r="U15">
        <v>0</v>
      </c>
      <c r="V15">
        <v>12</v>
      </c>
      <c r="W15">
        <v>12</v>
      </c>
      <c r="X15">
        <v>1</v>
      </c>
      <c r="Y15">
        <v>1</v>
      </c>
      <c r="Z15">
        <v>1</v>
      </c>
      <c r="AB15">
        <v>0</v>
      </c>
      <c r="AC15">
        <v>8</v>
      </c>
      <c r="AD15">
        <v>5</v>
      </c>
      <c r="AE15">
        <v>0.625</v>
      </c>
      <c r="AF15">
        <v>3</v>
      </c>
      <c r="AG15">
        <v>0</v>
      </c>
      <c r="AH15">
        <v>0</v>
      </c>
      <c r="AI15">
        <v>0</v>
      </c>
      <c r="AJ15">
        <v>0</v>
      </c>
      <c r="AK15">
        <v>24</v>
      </c>
      <c r="AL15">
        <v>6</v>
      </c>
      <c r="AM15">
        <v>0.25</v>
      </c>
      <c r="AN15">
        <v>18</v>
      </c>
      <c r="AO15">
        <v>12</v>
      </c>
      <c r="AP15">
        <v>0</v>
      </c>
      <c r="AQ15">
        <v>0</v>
      </c>
      <c r="AR15">
        <v>12</v>
      </c>
      <c r="AS15" t="e">
        <f>'Giao CT'!#REF!</f>
        <v>#REF!</v>
      </c>
      <c r="AT15" t="e">
        <f>VLOOKUP($B$5:$B$20,#REF!,68,0)</f>
        <v>#REF!</v>
      </c>
      <c r="AU15">
        <f>IFERROR(AT15/AS15,0)</f>
        <v>0</v>
      </c>
      <c r="AV15" t="e">
        <f>AS15-AT15</f>
        <v>#REF!</v>
      </c>
    </row>
    <row r="16">
      <c r="A16">
        <v>13</v>
      </c>
      <c r="B16" t="str">
        <v>NGUYỄN HOÀNG DUY QUANG</v>
      </c>
      <c r="C16">
        <v>1</v>
      </c>
      <c r="D16">
        <v>3</v>
      </c>
      <c r="E16">
        <v>2</v>
      </c>
      <c r="F16">
        <v>3</v>
      </c>
      <c r="G16">
        <v>6</v>
      </c>
      <c r="H16">
        <v>6</v>
      </c>
      <c r="I16">
        <v>3</v>
      </c>
      <c r="J16">
        <v>2</v>
      </c>
      <c r="K16">
        <v>10</v>
      </c>
      <c r="M16" t="str">
        <v>NGUYỄN HOÀNG DUY QUANG</v>
      </c>
      <c r="N16">
        <v>9</v>
      </c>
      <c r="O16">
        <v>4</v>
      </c>
      <c r="P16">
        <v>0.4444444444444444</v>
      </c>
      <c r="Q16">
        <f>O16-N16</f>
        <v>-5</v>
      </c>
      <c r="R16">
        <v>2</v>
      </c>
      <c r="S16">
        <v>30</v>
      </c>
      <c r="T16">
        <v>6</v>
      </c>
      <c r="U16">
        <v>0.2</v>
      </c>
      <c r="V16">
        <v>24</v>
      </c>
      <c r="W16">
        <v>24</v>
      </c>
      <c r="X16">
        <v>3</v>
      </c>
      <c r="Y16">
        <v>1</v>
      </c>
      <c r="Z16">
        <v>0.3333333333333333</v>
      </c>
      <c r="AA16">
        <v>2</v>
      </c>
      <c r="AB16">
        <v>2</v>
      </c>
      <c r="AC16">
        <v>9</v>
      </c>
      <c r="AD16">
        <v>3</v>
      </c>
      <c r="AE16">
        <v>0.3333333333333333</v>
      </c>
      <c r="AF16">
        <v>6</v>
      </c>
      <c r="AG16">
        <v>1</v>
      </c>
      <c r="AH16">
        <v>0</v>
      </c>
      <c r="AI16">
        <v>0</v>
      </c>
      <c r="AJ16">
        <v>1</v>
      </c>
      <c r="AK16">
        <v>80</v>
      </c>
      <c r="AL16">
        <v>30</v>
      </c>
      <c r="AM16">
        <v>0.375</v>
      </c>
      <c r="AN16">
        <v>50</v>
      </c>
      <c r="AO16">
        <v>30</v>
      </c>
      <c r="AP16">
        <v>6</v>
      </c>
      <c r="AQ16">
        <v>0.2</v>
      </c>
      <c r="AR16">
        <v>24</v>
      </c>
      <c r="AS16" t="e">
        <f>'Giao CT'!#REF!</f>
        <v>#REF!</v>
      </c>
      <c r="AT16" t="e">
        <f>VLOOKUP($B$5:$B$20,#REF!,68,0)</f>
        <v>#REF!</v>
      </c>
      <c r="AU16">
        <f>IFERROR(AT16/AS16,0)</f>
        <v>0</v>
      </c>
      <c r="AV16" t="e">
        <f>AS16-AT16</f>
        <v>#REF!</v>
      </c>
    </row>
    <row r="17">
      <c r="A17">
        <v>14</v>
      </c>
      <c r="B17" t="str">
        <v>Nguyễn Đình Quát</v>
      </c>
      <c r="C17">
        <v>1</v>
      </c>
      <c r="D17">
        <v>2</v>
      </c>
      <c r="E17">
        <v>1</v>
      </c>
      <c r="F17">
        <v>2</v>
      </c>
      <c r="G17">
        <v>3</v>
      </c>
      <c r="H17">
        <v>3</v>
      </c>
      <c r="I17">
        <v>2</v>
      </c>
      <c r="J17">
        <v>2</v>
      </c>
      <c r="K17">
        <v>10</v>
      </c>
      <c r="M17" t="str">
        <v>Nguyễn Đình Quát</v>
      </c>
      <c r="N17">
        <v>6</v>
      </c>
      <c r="O17">
        <v>4</v>
      </c>
      <c r="P17">
        <v>0.6666666666666666</v>
      </c>
      <c r="Q17">
        <f>O17-N17</f>
        <v>-2</v>
      </c>
      <c r="R17">
        <v>1</v>
      </c>
      <c r="S17">
        <v>30</v>
      </c>
      <c r="T17">
        <v>12</v>
      </c>
      <c r="U17">
        <v>0.4</v>
      </c>
      <c r="V17">
        <v>18</v>
      </c>
      <c r="W17">
        <v>18</v>
      </c>
      <c r="X17">
        <v>3</v>
      </c>
      <c r="Y17">
        <v>2</v>
      </c>
      <c r="Z17">
        <v>0.6666666666666666</v>
      </c>
      <c r="AA17">
        <v>1</v>
      </c>
      <c r="AB17">
        <v>1</v>
      </c>
      <c r="AC17">
        <v>8</v>
      </c>
      <c r="AD17">
        <v>3</v>
      </c>
      <c r="AE17">
        <v>0.375</v>
      </c>
      <c r="AF17">
        <v>5</v>
      </c>
      <c r="AG17">
        <v>3</v>
      </c>
      <c r="AH17">
        <v>3</v>
      </c>
      <c r="AI17">
        <v>1</v>
      </c>
      <c r="AJ17">
        <v>0</v>
      </c>
      <c r="AK17">
        <v>85</v>
      </c>
      <c r="AL17">
        <v>78</v>
      </c>
      <c r="AM17">
        <v>0.9176470588235294</v>
      </c>
      <c r="AN17">
        <v>7</v>
      </c>
      <c r="AO17">
        <v>30</v>
      </c>
      <c r="AP17">
        <v>12</v>
      </c>
      <c r="AQ17">
        <v>0.4</v>
      </c>
      <c r="AR17">
        <v>18</v>
      </c>
      <c r="AS17" t="e">
        <f>'Giao CT'!#REF!</f>
        <v>#REF!</v>
      </c>
      <c r="AT17" t="e">
        <f>VLOOKUP($B$5:$B$20,#REF!,68,0)</f>
        <v>#REF!</v>
      </c>
      <c r="AU17">
        <f>IFERROR(AT17/AS17,0)</f>
        <v>0</v>
      </c>
      <c r="AV17" t="e">
        <f>AS17-AT17</f>
        <v>#REF!</v>
      </c>
    </row>
    <row r="18">
      <c r="A18">
        <v>15</v>
      </c>
      <c r="B18" t="str">
        <v>HỒ MINH TRÍ</v>
      </c>
      <c r="C18">
        <v>1</v>
      </c>
      <c r="D18">
        <v>2</v>
      </c>
      <c r="E18">
        <v>2</v>
      </c>
      <c r="F18">
        <v>2</v>
      </c>
      <c r="G18">
        <v>3</v>
      </c>
      <c r="H18">
        <v>12</v>
      </c>
      <c r="I18">
        <v>2</v>
      </c>
      <c r="J18">
        <v>2</v>
      </c>
      <c r="K18">
        <v>10</v>
      </c>
      <c r="M18" t="str">
        <v>Trịnh Ngọc Tâm</v>
      </c>
      <c r="N18">
        <v>2</v>
      </c>
      <c r="O18">
        <v>0</v>
      </c>
      <c r="P18">
        <v>0</v>
      </c>
      <c r="Q18">
        <f>O18-N18</f>
        <v>-2</v>
      </c>
      <c r="R18">
        <v>1</v>
      </c>
      <c r="S18">
        <v>12</v>
      </c>
      <c r="T18">
        <v>12</v>
      </c>
      <c r="U18">
        <v>1</v>
      </c>
      <c r="V18">
        <v>0</v>
      </c>
      <c r="X18">
        <v>1</v>
      </c>
      <c r="Y18">
        <v>0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1</v>
      </c>
      <c r="AH18">
        <v>0</v>
      </c>
      <c r="AI18">
        <v>0</v>
      </c>
      <c r="AJ18">
        <v>1</v>
      </c>
      <c r="AK18">
        <v>12</v>
      </c>
      <c r="AL18">
        <v>12</v>
      </c>
      <c r="AM18">
        <v>1</v>
      </c>
      <c r="AN18">
        <v>0</v>
      </c>
      <c r="AO18">
        <v>12</v>
      </c>
      <c r="AP18">
        <v>12</v>
      </c>
      <c r="AQ18">
        <v>1</v>
      </c>
      <c r="AR18">
        <v>0</v>
      </c>
      <c r="AS18" t="e">
        <f>'Giao CT'!#REF!</f>
        <v>#REF!</v>
      </c>
      <c r="AT18" t="e">
        <f>VLOOKUP($B$5:$B$20,#REF!,68,0)</f>
        <v>#REF!</v>
      </c>
      <c r="AU18">
        <f>IFERROR(AT18/AS18,0)</f>
        <v>0</v>
      </c>
      <c r="AV18" t="e">
        <f>AS18-AT18</f>
        <v>#REF!</v>
      </c>
    </row>
    <row r="19">
      <c r="A19">
        <v>16</v>
      </c>
      <c r="B19" t="str">
        <v>Phan Thế Vượng</v>
      </c>
      <c r="C19">
        <v>1</v>
      </c>
      <c r="D19">
        <v>2</v>
      </c>
      <c r="E19">
        <v>2</v>
      </c>
      <c r="F19">
        <v>2</v>
      </c>
      <c r="G19">
        <v>3</v>
      </c>
      <c r="H19">
        <v>12</v>
      </c>
      <c r="I19">
        <v>2</v>
      </c>
      <c r="J19">
        <v>2</v>
      </c>
      <c r="K19">
        <v>10</v>
      </c>
      <c r="M19" t="str">
        <v>HỒ MINH TRÍ</v>
      </c>
      <c r="N19">
        <v>10</v>
      </c>
      <c r="O19">
        <v>8</v>
      </c>
      <c r="P19">
        <v>0.8</v>
      </c>
      <c r="Q19">
        <f>O19-N19</f>
        <v>-2</v>
      </c>
      <c r="S19">
        <v>30</v>
      </c>
      <c r="T19">
        <v>42</v>
      </c>
      <c r="U19">
        <v>1.4</v>
      </c>
      <c r="V19">
        <v>-12</v>
      </c>
      <c r="X19">
        <v>3</v>
      </c>
      <c r="Y19">
        <v>3</v>
      </c>
      <c r="Z19">
        <v>1</v>
      </c>
      <c r="AB19">
        <v>0</v>
      </c>
      <c r="AC19">
        <v>9</v>
      </c>
      <c r="AD19">
        <v>12</v>
      </c>
      <c r="AE19">
        <v>1.3333333333333333</v>
      </c>
      <c r="AF19">
        <v>-3</v>
      </c>
      <c r="AG19">
        <v>2</v>
      </c>
      <c r="AH19">
        <v>2</v>
      </c>
      <c r="AI19">
        <v>1</v>
      </c>
      <c r="AJ19">
        <v>0</v>
      </c>
      <c r="AK19">
        <v>85</v>
      </c>
      <c r="AL19">
        <v>129</v>
      </c>
      <c r="AM19">
        <v>1.5176470588235293</v>
      </c>
      <c r="AN19">
        <v>-44</v>
      </c>
      <c r="AO19">
        <v>30</v>
      </c>
      <c r="AP19">
        <v>42</v>
      </c>
      <c r="AQ19">
        <v>1.4</v>
      </c>
      <c r="AR19">
        <v>-12</v>
      </c>
      <c r="AS19" t="e">
        <f>'Giao CT'!#REF!</f>
        <v>#REF!</v>
      </c>
      <c r="AT19" t="e">
        <f>VLOOKUP($B$5:$B$20,#REF!,68,0)</f>
        <v>#REF!</v>
      </c>
      <c r="AU19">
        <f>IFERROR(AT19/AS19,0)</f>
        <v>0</v>
      </c>
      <c r="AV19" t="e">
        <f>AS19-AT19</f>
        <v>#REF!</v>
      </c>
    </row>
    <row r="20">
      <c r="A20">
        <v>17</v>
      </c>
      <c r="B20" t="str">
        <v>NGUYỄN THỊ THANH XUÂN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2</v>
      </c>
      <c r="K20">
        <v>2</v>
      </c>
      <c r="M20" t="str">
        <v>Phan Thế Vượng</v>
      </c>
      <c r="N20">
        <v>10</v>
      </c>
      <c r="O20">
        <v>3</v>
      </c>
      <c r="P20">
        <v>0.3</v>
      </c>
      <c r="Q20">
        <f>O20-N20</f>
        <v>-7</v>
      </c>
      <c r="R20">
        <v>3</v>
      </c>
      <c r="S20">
        <v>27</v>
      </c>
      <c r="T20">
        <v>11</v>
      </c>
      <c r="U20">
        <v>0.4074074074074074</v>
      </c>
      <c r="V20">
        <v>16</v>
      </c>
      <c r="W20">
        <v>16</v>
      </c>
      <c r="X20">
        <v>3</v>
      </c>
      <c r="Y20">
        <v>3</v>
      </c>
      <c r="Z20">
        <v>1</v>
      </c>
      <c r="AB20">
        <v>0</v>
      </c>
      <c r="AC20">
        <v>9</v>
      </c>
      <c r="AD20">
        <v>11</v>
      </c>
      <c r="AE20">
        <v>1.2222222222222223</v>
      </c>
      <c r="AF20">
        <v>-2</v>
      </c>
      <c r="AG20">
        <v>2</v>
      </c>
      <c r="AH20">
        <v>2</v>
      </c>
      <c r="AI20">
        <v>1</v>
      </c>
      <c r="AJ20">
        <v>0</v>
      </c>
      <c r="AK20">
        <v>85</v>
      </c>
      <c r="AL20">
        <v>51</v>
      </c>
      <c r="AM20">
        <v>0.6</v>
      </c>
      <c r="AN20">
        <v>34</v>
      </c>
      <c r="AO20">
        <v>27</v>
      </c>
      <c r="AP20">
        <v>11</v>
      </c>
      <c r="AQ20">
        <v>0.4074074074074074</v>
      </c>
      <c r="AR20">
        <v>16</v>
      </c>
      <c r="AS20" t="e">
        <f>'Giao CT'!#REF!</f>
        <v>#REF!</v>
      </c>
      <c r="AT20" t="e">
        <f>VLOOKUP($B$5:$B$20,#REF!,68,0)</f>
        <v>#REF!</v>
      </c>
      <c r="AU20">
        <f>IFERROR(AT20/AS20,0)</f>
        <v>0</v>
      </c>
      <c r="AV20" t="e">
        <f>AS20-AT20</f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ageMargins left="0.6999125161508876" right="0.6999125161508876" top="0.7499062639521802" bottom="0.7499062639521802" header="0.2999625102741512" footer="0.2999625102741512"/>
  <ignoredErrors>
    <ignoredError numberStoredAsText="1" sqref="A1:AV2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E24"/>
  <sheetViews>
    <sheetView workbookViewId="0" rightToLeft="0"/>
  </sheetViews>
  <sheetData>
    <row r="1">
      <c r="A1" t="str">
        <v>File cũ</v>
      </c>
    </row>
    <row r="2">
      <c r="A2" t="str">
        <v>TB FTTH phát triển mới</v>
      </c>
      <c r="B2">
        <v>49</v>
      </c>
      <c r="D2" t="str">
        <v>TB FTTH phát triển mới</v>
      </c>
      <c r="E2">
        <v>49</v>
      </c>
    </row>
    <row r="3">
      <c r="A3" t="str">
        <v>Supernet PTM</v>
      </c>
      <c r="B3">
        <v>57</v>
      </c>
      <c r="D3" t="str">
        <v>Supernet PTM</v>
      </c>
      <c r="E3">
        <v>57</v>
      </c>
    </row>
    <row r="4">
      <c r="A4" t="str">
        <v>Camera Đấu nối và bán đứt mua icloud</v>
      </c>
      <c r="B4">
        <v>113</v>
      </c>
      <c r="D4" t="str">
        <v>Camera Đấu nối và bán đứt mua icloud</v>
      </c>
      <c r="E4">
        <v>105</v>
      </c>
    </row>
    <row r="5">
      <c r="A5" t="str">
        <v>THS Đôi dây PTM</v>
      </c>
      <c r="B5">
        <v>161</v>
      </c>
      <c r="D5" t="str">
        <v>THS Đôi dây PTM</v>
      </c>
      <c r="E5">
        <v>153</v>
      </c>
    </row>
    <row r="6">
      <c r="A6" t="str">
        <v>THS Đôi dây Combo</v>
      </c>
      <c r="B6">
        <v>169</v>
      </c>
      <c r="D6" t="str">
        <v>THS Đôi dây Combo</v>
      </c>
      <c r="E6">
        <v>161</v>
      </c>
    </row>
    <row r="7">
      <c r="A7" t="str">
        <v>Thuê Bao trả sau</v>
      </c>
      <c r="B7">
        <v>177</v>
      </c>
      <c r="D7" t="str">
        <v>Thuê Bao trả sau</v>
      </c>
      <c r="E7">
        <v>169</v>
      </c>
    </row>
    <row r="8">
      <c r="A8" t="str">
        <v>Thuê bao GIC</v>
      </c>
      <c r="B8">
        <v>137</v>
      </c>
      <c r="D8" t="str">
        <v>Thuê bao GIC</v>
      </c>
      <c r="E8">
        <v>129</v>
      </c>
    </row>
    <row r="9">
      <c r="A9" t="str">
        <v>Thuê bao thực 4G</v>
      </c>
      <c r="B9">
        <v>193</v>
      </c>
      <c r="D9" t="str">
        <v>Thuê bao thực 4G</v>
      </c>
      <c r="E9">
        <v>185</v>
      </c>
    </row>
    <row r="10">
      <c r="A10" t="str">
        <v>Thuê bao mua gói 70K</v>
      </c>
      <c r="B10">
        <v>97</v>
      </c>
      <c r="D10" t="str">
        <v>Thuê bao mua gói 70K</v>
      </c>
      <c r="E10">
        <v>97</v>
      </c>
    </row>
    <row r="11">
      <c r="A11" t="str">
        <v>Thuê bao  5G</v>
      </c>
      <c r="B11">
        <v>89</v>
      </c>
      <c r="D11" t="str">
        <v>Thuê bao  5G</v>
      </c>
      <c r="E11">
        <v>89</v>
      </c>
    </row>
    <row r="12">
      <c r="A12" t="str">
        <v>Thuê bao standard</v>
      </c>
      <c r="B12">
        <v>153</v>
      </c>
      <c r="D12" t="str">
        <v>Thuê bao standard</v>
      </c>
      <c r="E12">
        <v>145</v>
      </c>
    </row>
    <row r="13">
      <c r="A13" t="str">
        <v>CĐT FTTH</v>
      </c>
      <c r="B13">
        <v>9</v>
      </c>
      <c r="D13" t="str">
        <v>CĐT FTTH</v>
      </c>
      <c r="E13">
        <v>9</v>
      </c>
    </row>
    <row r="14">
      <c r="A14" t="str">
        <v>CĐT Camera</v>
      </c>
      <c r="B14">
        <v>17</v>
      </c>
      <c r="D14" t="str">
        <v>CĐT Camera</v>
      </c>
      <c r="E14">
        <v>17</v>
      </c>
    </row>
    <row r="15">
      <c r="A15" t="str">
        <v>CĐT THS</v>
      </c>
      <c r="B15">
        <v>25</v>
      </c>
      <c r="D15" t="str">
        <v>CĐT THS</v>
      </c>
      <c r="E15">
        <v>25</v>
      </c>
    </row>
    <row r="16">
      <c r="A16" t="str">
        <v>Rời mạng THS</v>
      </c>
      <c r="B16">
        <v>81</v>
      </c>
      <c r="D16" t="str">
        <v>Rời mạng THS</v>
      </c>
      <c r="E16">
        <v>81</v>
      </c>
    </row>
    <row r="17">
      <c r="A17" t="str">
        <v>Rời mạng FTTH</v>
      </c>
      <c r="B17">
        <v>73</v>
      </c>
      <c r="D17" t="str">
        <v>Rời mạng FTTH</v>
      </c>
      <c r="E17">
        <v>73</v>
      </c>
    </row>
    <row r="18">
      <c r="A18" t="str">
        <v>Cước N1- N3</v>
      </c>
      <c r="D18" t="str">
        <v>Cước N1- N3</v>
      </c>
    </row>
    <row r="19">
      <c r="A19" t="str">
        <v>Khôi phục THS</v>
      </c>
      <c r="B19">
        <v>65</v>
      </c>
      <c r="D19" t="str">
        <v>Khôi phục THS</v>
      </c>
      <c r="E19">
        <v>65</v>
      </c>
    </row>
    <row r="20">
      <c r="A20" t="str">
        <v>Trải nghiệm THS</v>
      </c>
      <c r="D20" t="str">
        <v>Trải nghiệm THS</v>
      </c>
    </row>
    <row r="21">
      <c r="A21" t="str">
        <v>Thuê Bao mybox</v>
      </c>
      <c r="B21">
        <v>145</v>
      </c>
      <c r="D21" t="str">
        <v>Thuê Bao mybox</v>
      </c>
      <c r="E21">
        <v>137</v>
      </c>
    </row>
    <row r="22">
      <c r="A22" t="str">
        <v>MYKID</v>
      </c>
      <c r="B22">
        <v>121</v>
      </c>
      <c r="D22" t="str">
        <v>MYKID</v>
      </c>
      <c r="E22">
        <v>113</v>
      </c>
    </row>
    <row r="23">
      <c r="A23" t="str">
        <v>Chuấn hoá thông tin thuê bao</v>
      </c>
      <c r="B23">
        <v>33</v>
      </c>
      <c r="D23" t="str">
        <v>Chuấn hoá thông tin thuê bao</v>
      </c>
      <c r="E23">
        <v>33</v>
      </c>
    </row>
    <row r="24">
      <c r="A24" t="str">
        <v>Thuê bao Lk Epass cũ</v>
      </c>
      <c r="B24">
        <v>129</v>
      </c>
      <c r="D24" t="str">
        <v>Thuê bao Lk Epass cũ</v>
      </c>
      <c r="E24">
        <v>129</v>
      </c>
    </row>
  </sheetData>
  <pageMargins left="0.6999125161508876" right="0.6999125161508876" top="0.7499062639521802" bottom="0.7499062639521802" header="0.2999625102741512" footer="0.2999625102741512"/>
  <ignoredErrors>
    <ignoredError numberStoredAsText="1" sqref="A1:E2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YY33"/>
  <sheetViews>
    <sheetView workbookViewId="0" rightToLeft="0"/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</row>
    <row r="2">
      <c r="A2" t="str">
        <v>Nhân Viên</v>
      </c>
      <c r="D2" t="str">
        <v>Dịch vụ cố định</v>
      </c>
      <c r="T2" t="str">
        <v>Dịch vụ di động</v>
      </c>
      <c r="AJ2" t="str">
        <v>CHỈ TIÊU CƯỚC - CSKH</v>
      </c>
      <c r="AV2" t="str">
        <v>CHƯƠNG TRÌNH TRỌNG ĐIỂM</v>
      </c>
    </row>
    <row r="3">
      <c r="B3" t="str">
        <v>Nhân viên</v>
      </c>
      <c r="D3" t="str">
        <v>TB FTTH phát triển mới</v>
      </c>
      <c r="H3" t="str">
        <v>Supernet PTM</v>
      </c>
      <c r="L3" t="str">
        <v>Camera Đấu nối và bán đứt mua icloud</v>
      </c>
      <c r="P3" t="str">
        <v>THS Đôi dây PTM</v>
      </c>
      <c r="T3" t="str">
        <v>Thuê Bao trả sau</v>
      </c>
      <c r="X3" t="str">
        <v>Thuê bao thực 4G</v>
      </c>
      <c r="AB3" t="str">
        <v>Thuê bao  5G</v>
      </c>
      <c r="AF3" t="str">
        <v>Thuê bao standard</v>
      </c>
      <c r="AJ3" t="str">
        <v>Rời mạng THS</v>
      </c>
      <c r="AN3" t="str">
        <v>Rời mạng FTTH</v>
      </c>
      <c r="AR3" t="str">
        <v>Cước N1- N3</v>
      </c>
      <c r="AV3" t="str">
        <v>Khôi phục THS</v>
      </c>
      <c r="AZ3" t="str">
        <v>Thuê Bao mybox</v>
      </c>
      <c r="BD3" t="str">
        <v>MYKID</v>
      </c>
    </row>
    <row r="4">
      <c r="D4" t="str">
        <v>KH</v>
      </c>
      <c r="E4" t="str">
        <v>TH</v>
      </c>
      <c r="F4" t="str">
        <v>%</v>
      </c>
      <c r="G4" t="str">
        <v>Thiếu</v>
      </c>
      <c r="H4" t="str">
        <v>KH</v>
      </c>
      <c r="I4" t="str">
        <v>TH</v>
      </c>
      <c r="J4" t="str">
        <v>%</v>
      </c>
      <c r="K4" t="str">
        <v>Thiếu</v>
      </c>
      <c r="L4" t="str">
        <v>KH</v>
      </c>
      <c r="M4" t="str">
        <v>TH</v>
      </c>
      <c r="N4" t="str">
        <v>%</v>
      </c>
      <c r="O4" t="str">
        <v>Thiếu</v>
      </c>
      <c r="P4" t="str">
        <v>KH</v>
      </c>
      <c r="Q4" t="str">
        <v>TH</v>
      </c>
      <c r="R4" t="str">
        <v>%</v>
      </c>
      <c r="S4" t="str">
        <v>Thiếu</v>
      </c>
      <c r="T4" t="str">
        <v>KH</v>
      </c>
      <c r="U4" t="str">
        <v>TH</v>
      </c>
      <c r="V4" t="str">
        <v>%</v>
      </c>
      <c r="W4" t="str">
        <v>Thiếu</v>
      </c>
      <c r="X4" t="str">
        <v>KH</v>
      </c>
      <c r="Y4" t="str">
        <v>TH</v>
      </c>
      <c r="Z4" t="str">
        <v>%</v>
      </c>
      <c r="AA4" t="str">
        <v>Thiếu</v>
      </c>
      <c r="AB4" t="str">
        <v>KH</v>
      </c>
      <c r="AC4" t="str">
        <v>TH</v>
      </c>
      <c r="AD4" t="str">
        <v>%</v>
      </c>
      <c r="AE4" t="str">
        <v>Thiếu</v>
      </c>
      <c r="AF4" t="str">
        <v>KH</v>
      </c>
      <c r="AG4" t="str">
        <v>TH</v>
      </c>
      <c r="AH4" t="str">
        <v>%</v>
      </c>
      <c r="AI4" t="str">
        <v>Thiếu</v>
      </c>
      <c r="AJ4" t="str">
        <v>KH</v>
      </c>
      <c r="AK4" t="str">
        <v>TH</v>
      </c>
      <c r="AL4" t="str">
        <v>%</v>
      </c>
      <c r="AM4" t="str">
        <v>còn được</v>
      </c>
      <c r="AN4" t="str">
        <v>KH</v>
      </c>
      <c r="AO4" t="str">
        <v>TH</v>
      </c>
      <c r="AP4" t="str">
        <v>%</v>
      </c>
      <c r="AQ4" t="str">
        <v>còn được</v>
      </c>
      <c r="AR4" t="str">
        <v>KH</v>
      </c>
      <c r="AS4" t="str">
        <v>TH</v>
      </c>
      <c r="AT4" t="str">
        <v>ĐẠT</v>
      </c>
      <c r="AU4" t="str">
        <v>thiếu</v>
      </c>
      <c r="AV4" t="str">
        <v>KH</v>
      </c>
      <c r="AW4" t="str">
        <v>TH</v>
      </c>
      <c r="AX4" t="str">
        <v>%</v>
      </c>
      <c r="AY4" t="str">
        <v>Thiếu</v>
      </c>
      <c r="AZ4" t="str">
        <v>KH</v>
      </c>
      <c r="BA4" t="str">
        <v>TH</v>
      </c>
      <c r="BB4" t="str">
        <v>%</v>
      </c>
      <c r="BC4" t="str">
        <v>Thiếu</v>
      </c>
      <c r="BD4" t="str">
        <v>KH</v>
      </c>
      <c r="BE4" t="str">
        <v>TH</v>
      </c>
      <c r="BF4" t="str">
        <v>%</v>
      </c>
      <c r="BG4" t="str">
        <v>Thiếu</v>
      </c>
    </row>
    <row r="5">
      <c r="A5" t="str">
        <v>Lê Trọng An</v>
      </c>
      <c r="B5" t="str">
        <v>ANLT_LDG_CNKD</v>
      </c>
      <c r="C5" t="str">
        <v>CNKD_LDG_ANLT</v>
      </c>
      <c r="D5">
        <f>VLOOKUP(C5,'Giao CT'!$D$6:$S$20,3,0)</f>
        <v>8</v>
      </c>
      <c r="E5">
        <f>VLOOKUP(C5,GBOC!$E$7:$DG$29,$B$20,0)</f>
        <v>7</v>
      </c>
      <c r="F5">
        <f>IFERROR(E5/D5,0)</f>
        <v>0.875</v>
      </c>
      <c r="G5">
        <f>D5-E5</f>
        <v>1</v>
      </c>
      <c r="H5">
        <f>VLOOKUP(C5,'Giao CT'!$D$6:$S$20,4,0)</f>
        <v>4</v>
      </c>
      <c r="I5">
        <f>VLOOKUP(C5,GBOC!$E$7:$DG$29,$B$21,0)</f>
        <v>6</v>
      </c>
      <c r="J5">
        <f>IFERROR(I5/H5,0)</f>
        <v>1.5</v>
      </c>
      <c r="K5">
        <f>H5-I5</f>
        <v>-2</v>
      </c>
      <c r="L5">
        <f>VLOOKUP(C5,'Giao CT'!$D$6:$S$20,5,0)</f>
        <v>5</v>
      </c>
      <c r="M5">
        <f>VLOOKUP(C5,GBOC!$E$7:$DG$29,$B$22,0)</f>
        <v>5</v>
      </c>
      <c r="N5">
        <f>IFERROR(M5/L5,0)</f>
        <v>1</v>
      </c>
      <c r="O5">
        <f>L5-M5</f>
        <v>0</v>
      </c>
      <c r="P5">
        <f>VLOOKUP(C5,'Giao CT'!$D$6:$S$20,6,0)</f>
        <v>5</v>
      </c>
      <c r="Q5">
        <f>VLOOKUP(C5,GBOC!$E$7:$DG$29,$B$23,0)</f>
        <v>6</v>
      </c>
      <c r="R5">
        <f>IFERROR(Q5/P5,0)</f>
        <v>1.2</v>
      </c>
      <c r="S5">
        <f>P5-Q5</f>
        <v>-1</v>
      </c>
      <c r="T5">
        <f>VLOOKUP(C5,'Giao CT'!$D$6:$S$20,7,0)</f>
        <v>4</v>
      </c>
      <c r="U5">
        <f>VLOOKUP(C5,GBOC!$E$7:$DG$29,$B$24,0)</f>
        <v>4</v>
      </c>
      <c r="V5">
        <f>IFERROR(U5/T5,0)</f>
        <v>1</v>
      </c>
      <c r="W5">
        <f>T5-U5</f>
        <v>0</v>
      </c>
      <c r="X5">
        <f>VLOOKUP(C5,'Giao CT'!$D$6:$S$20,8,0)</f>
        <v>1</v>
      </c>
      <c r="Y5">
        <f>VLOOKUP(C5,GBOC!$E$7:$DG$29,$B$25,0)</f>
        <v>1</v>
      </c>
      <c r="Z5">
        <f>IFERROR(Y5/X5,0)</f>
        <v>1</v>
      </c>
      <c r="AA5">
        <f>X5-Y5</f>
        <v>0</v>
      </c>
      <c r="AB5">
        <f>VLOOKUP(C5,'Giao CT'!$D$6:$S$20,9,0)</f>
        <v>30</v>
      </c>
      <c r="AC5">
        <f>VLOOKUP(C5,GBOC!$E$7:$DG$29,$B$26,0)</f>
        <v>21</v>
      </c>
      <c r="AD5">
        <f>IFERROR(AC5/AB5,0)</f>
        <v>0.7</v>
      </c>
      <c r="AE5">
        <f>AB5-AC5</f>
        <v>9</v>
      </c>
      <c r="AF5">
        <f>VLOOKUP(C5,'Giao CT'!$D$6:$S$20,10,0)</f>
        <v>9</v>
      </c>
      <c r="AG5">
        <f>VLOOKUP(C5,GBOC!$E$7:$DG$29,$B$27,0)</f>
        <v>12</v>
      </c>
      <c r="AH5">
        <f>IFERROR(AG5/AF5,0)</f>
        <v>1.3333333333333333</v>
      </c>
      <c r="AI5">
        <f>AF5-AG5</f>
        <v>-3</v>
      </c>
      <c r="AJ5">
        <f>VLOOKUP(C5,'Giao CT'!$D$6:$S$20,11,0)</f>
        <v>4</v>
      </c>
      <c r="AK5">
        <v>2</v>
      </c>
      <c r="AL5">
        <f>200%-IFERROR(AK5/AJ5,0)</f>
        <v>1.5</v>
      </c>
      <c r="AM5">
        <f>MAX(AL5,0)</f>
        <v>1.5</v>
      </c>
      <c r="AN5">
        <f>VLOOKUP(C5,'Giao CT'!$D$6:$S$20,12,0)</f>
        <v>5</v>
      </c>
      <c r="AO5">
        <f>VLOOKUP(C5,GBOC!$E$7:$DG$29,$B$29,0)</f>
        <v>1</v>
      </c>
      <c r="AP5">
        <f>200%-IFERROR(AO5/AN5,0)</f>
        <v>1.8</v>
      </c>
      <c r="AQ5">
        <f>MAX(AP5,0)</f>
        <v>1.8</v>
      </c>
      <c r="AR5">
        <v>0.97</v>
      </c>
      <c r="AS5">
        <f>(VLOOKUP(B5,cuoc!$B$7:$P$27,14,0))*1%</f>
        <v>0.7554000000000001</v>
      </c>
      <c r="AT5">
        <f>IF(AS5&lt;94.5%,0,IF(AS5&lt;95.54%,50%,IF(AS5&lt;AR5,80%,100%+(30%*(AS5-AR5)/3.39%))))</f>
        <v>0</v>
      </c>
      <c r="AU5">
        <f>AR5-AS5</f>
        <v>0.2145999999999999</v>
      </c>
      <c r="AV5">
        <f>VLOOKUP(C5,'Giao CT'!$D$6:$S$20,14,0)</f>
        <v>2</v>
      </c>
      <c r="AW5">
        <f>VLOOKUP(C5,GBOC!$E$7:$DG$29,$B$31,0)</f>
        <v>0</v>
      </c>
      <c r="AX5">
        <f>AW5/AV5</f>
        <v>0</v>
      </c>
      <c r="AY5">
        <f>AV5-AW5</f>
        <v>2</v>
      </c>
      <c r="AZ5">
        <f>VLOOKUP(C5,'Giao CT'!$D$6:$S$20,15,0)</f>
        <v>1</v>
      </c>
      <c r="BA5">
        <f>VLOOKUP(C5,GBOC!$E$7:$DG$29,$B$32,0)</f>
        <v>1</v>
      </c>
      <c r="BB5">
        <f>IFERROR(BA5/AZ5,1)</f>
        <v>1</v>
      </c>
      <c r="BC5">
        <f>AZ5-BA5</f>
        <v>0</v>
      </c>
      <c r="BD5">
        <f>VLOOKUP(C5,'Giao CT'!$D$6:$S$20,16,0)</f>
        <v>0</v>
      </c>
      <c r="BE5">
        <f>VLOOKUP(C5,GBOC!$E$7:$DG$29,$B$33,0)</f>
        <v>0</v>
      </c>
      <c r="BF5">
        <f>IFERROR(BE5/BD5,1)</f>
        <v>1</v>
      </c>
      <c r="BG5">
        <f>BD5-BE5</f>
        <v>0</v>
      </c>
    </row>
    <row r="6">
      <c r="A6" t="str">
        <v>Bùi Thu Hằng</v>
      </c>
      <c r="B6" t="str">
        <v>HANGBT_LDG_CNKD</v>
      </c>
      <c r="C6" t="str">
        <v>CNKD_LDG_HANGBT</v>
      </c>
      <c r="D6">
        <f>VLOOKUP(C6,'Giao CT'!$D$6:$S$20,3,0)</f>
        <v>7</v>
      </c>
      <c r="E6">
        <f>VLOOKUP(C6,GBOC!$E$7:$DG$29,$B$20,0)</f>
        <v>12</v>
      </c>
      <c r="F6">
        <f>IFERROR(E6/D6,0)</f>
        <v>1.7142857142857142</v>
      </c>
      <c r="G6">
        <f>D6-E6</f>
        <v>-5</v>
      </c>
      <c r="H6">
        <f>VLOOKUP(C6,'Giao CT'!$D$6:$S$20,4,0)</f>
        <v>4</v>
      </c>
      <c r="I6">
        <f>VLOOKUP(C6,GBOC!$E$7:$DG$29,$B$21,0)</f>
        <v>4</v>
      </c>
      <c r="J6">
        <f>IFERROR(I6/H6,0)</f>
        <v>1</v>
      </c>
      <c r="K6">
        <f>H6-I6</f>
        <v>0</v>
      </c>
      <c r="L6">
        <f>VLOOKUP(C6,'Giao CT'!$D$6:$S$20,5,0)</f>
        <v>5</v>
      </c>
      <c r="M6">
        <f>VLOOKUP(C6,GBOC!$E$7:$DG$29,$B$22,0)</f>
        <v>5</v>
      </c>
      <c r="N6">
        <f>IFERROR(M6/L6,0)</f>
        <v>1</v>
      </c>
      <c r="O6">
        <f>L6-M6</f>
        <v>0</v>
      </c>
      <c r="P6">
        <f>VLOOKUP(C6,'Giao CT'!$D$6:$S$20,6,0)</f>
        <v>4</v>
      </c>
      <c r="Q6">
        <f>VLOOKUP(C6,GBOC!$E$7:$DG$29,$B$23,0)</f>
        <v>7</v>
      </c>
      <c r="R6">
        <f>IFERROR(Q6/P6,0)</f>
        <v>1.75</v>
      </c>
      <c r="S6">
        <f>P6-Q6</f>
        <v>-3</v>
      </c>
      <c r="T6">
        <f>VLOOKUP(C6,'Giao CT'!$D$6:$S$20,7,0)</f>
        <v>4</v>
      </c>
      <c r="U6">
        <f>VLOOKUP(C6,GBOC!$E$7:$DG$29,$B$24,0)</f>
        <v>4</v>
      </c>
      <c r="V6">
        <f>IFERROR(U6/T6,0)</f>
        <v>1</v>
      </c>
      <c r="W6">
        <f>T6-U6</f>
        <v>0</v>
      </c>
      <c r="X6">
        <f>VLOOKUP(C6,'Giao CT'!$D$6:$S$20,8,0)</f>
        <v>1</v>
      </c>
      <c r="Y6">
        <f>VLOOKUP(C6,GBOC!$E$7:$DG$29,$B$25,0)</f>
        <v>6</v>
      </c>
      <c r="Z6">
        <f>IFERROR(Y6/X6,0)</f>
        <v>6</v>
      </c>
      <c r="AA6">
        <f>X6-Y6</f>
        <v>-5</v>
      </c>
      <c r="AB6">
        <f>VLOOKUP(C6,'Giao CT'!$D$6:$S$20,9,0)</f>
        <v>30</v>
      </c>
      <c r="AC6">
        <f>VLOOKUP(C6,GBOC!$E$7:$DG$29,$B$26,0)</f>
        <v>71</v>
      </c>
      <c r="AD6">
        <f>IFERROR(AC6/AB6,0)</f>
        <v>2.3666666666666667</v>
      </c>
      <c r="AE6">
        <f>AB6-AC6</f>
        <v>-41</v>
      </c>
      <c r="AF6">
        <f>VLOOKUP(C6,'Giao CT'!$D$6:$S$20,10,0)</f>
        <v>8</v>
      </c>
      <c r="AG6">
        <f>VLOOKUP(C6,GBOC!$E$7:$DG$29,$B$27,0)</f>
        <v>10</v>
      </c>
      <c r="AH6">
        <f>IFERROR(AG6/AF6,0)</f>
        <v>1.25</v>
      </c>
      <c r="AI6">
        <f>AF6-AG6</f>
        <v>-2</v>
      </c>
      <c r="AJ6">
        <f>VLOOKUP(C6,'Giao CT'!$D$6:$S$20,11,0)</f>
        <v>4</v>
      </c>
      <c r="AK6">
        <v>9</v>
      </c>
      <c r="AL6">
        <f>200%-IFERROR(AK6/AJ6,0)</f>
        <v>-0.25</v>
      </c>
      <c r="AM6">
        <f>MAX(AL6,0)</f>
        <v>0</v>
      </c>
      <c r="AN6">
        <f>VLOOKUP(C6,'Giao CT'!$D$6:$S$20,12,0)</f>
        <v>5</v>
      </c>
      <c r="AO6">
        <f>VLOOKUP(C6,GBOC!$E$7:$DG$29,$B$29,0)</f>
        <v>2</v>
      </c>
      <c r="AP6">
        <f>200%-IFERROR(AO6/AN6,0)</f>
        <v>1.6</v>
      </c>
      <c r="AQ6">
        <f>MAX(AP6,0)</f>
        <v>1.6</v>
      </c>
      <c r="AR6">
        <v>0.97</v>
      </c>
      <c r="AS6">
        <f>(VLOOKUP(B6,cuoc!$B$7:$P$27,14,0))*1%</f>
        <v>0.6377</v>
      </c>
      <c r="AT6">
        <f>IF(AS6&lt;94.5%,0,IF(AS6&lt;95.54%,50%,IF(AS6&lt;AR6,80%,100%+(30%*(AS6-AR6)/3.39%))))</f>
        <v>0</v>
      </c>
      <c r="AU6">
        <f>AR6-AS6</f>
        <v>0.33229999999999993</v>
      </c>
      <c r="AV6">
        <f>VLOOKUP(C6,'Giao CT'!$D$6:$S$20,14,0)</f>
        <v>3</v>
      </c>
      <c r="AW6">
        <f>VLOOKUP(C6,GBOC!$E$7:$DG$29,$B$31,0)</f>
        <v>0</v>
      </c>
      <c r="AX6">
        <f>AW6/AV6</f>
        <v>0</v>
      </c>
      <c r="AY6">
        <f>AV6-AW6</f>
        <v>3</v>
      </c>
      <c r="AZ6">
        <f>VLOOKUP(C6,'Giao CT'!$D$6:$S$20,15,0)</f>
        <v>1</v>
      </c>
      <c r="BA6">
        <f>VLOOKUP(C6,GBOC!$E$7:$DG$29,$B$32,0)</f>
        <v>0</v>
      </c>
      <c r="BB6">
        <f>IFERROR(BA6/AZ6,1)</f>
        <v>0</v>
      </c>
      <c r="BC6">
        <f>AZ6-BA6</f>
        <v>1</v>
      </c>
      <c r="BD6">
        <f>VLOOKUP(C6,'Giao CT'!$D$6:$S$20,16,0)</f>
        <v>1</v>
      </c>
      <c r="BE6">
        <f>VLOOKUP(C6,GBOC!$E$7:$DG$29,$B$33,0)</f>
        <v>0</v>
      </c>
      <c r="BF6">
        <f>IFERROR(BE6/BD6,1)</f>
        <v>0</v>
      </c>
      <c r="BG6">
        <f>BD6-BE6</f>
        <v>1</v>
      </c>
    </row>
    <row r="7">
      <c r="A7" t="str">
        <v>Bằng Trung Hiếu</v>
      </c>
      <c r="B7" t="str">
        <v>HIEUBT_LDG_CNKD</v>
      </c>
      <c r="C7" t="str">
        <v>CNKD_LDG_HIEUBT</v>
      </c>
      <c r="D7">
        <f>VLOOKUP(C7,'Giao CT'!$D$6:$S$20,3,0)</f>
        <v>7</v>
      </c>
      <c r="E7">
        <f>VLOOKUP(C7,GBOC!$E$7:$DG$29,$B$20,0)</f>
        <v>12</v>
      </c>
      <c r="F7">
        <f>IFERROR(E7/D7,0)</f>
        <v>1.7142857142857142</v>
      </c>
      <c r="G7">
        <f>D7-E7</f>
        <v>-5</v>
      </c>
      <c r="H7">
        <f>VLOOKUP(C7,'Giao CT'!$D$6:$S$20,4,0)</f>
        <v>4</v>
      </c>
      <c r="I7">
        <f>VLOOKUP(C7,GBOC!$E$7:$DG$29,$B$21,0)</f>
        <v>4</v>
      </c>
      <c r="J7">
        <f>IFERROR(I7/H7,0)</f>
        <v>1</v>
      </c>
      <c r="K7">
        <f>H7-I7</f>
        <v>0</v>
      </c>
      <c r="L7">
        <f>VLOOKUP(C7,'Giao CT'!$D$6:$S$20,5,0)</f>
        <v>5</v>
      </c>
      <c r="M7">
        <f>VLOOKUP(C7,GBOC!$E$7:$DG$29,$B$22,0)</f>
        <v>5</v>
      </c>
      <c r="N7">
        <f>IFERROR(M7/L7,0)</f>
        <v>1</v>
      </c>
      <c r="O7">
        <f>L7-M7</f>
        <v>0</v>
      </c>
      <c r="P7">
        <f>VLOOKUP(C7,'Giao CT'!$D$6:$S$20,6,0)</f>
        <v>4</v>
      </c>
      <c r="Q7">
        <f>VLOOKUP(C7,GBOC!$E$7:$DG$29,$B$23,0)</f>
        <v>3</v>
      </c>
      <c r="R7">
        <f>IFERROR(Q7/P7,0)</f>
        <v>0.75</v>
      </c>
      <c r="S7">
        <f>P7-Q7</f>
        <v>1</v>
      </c>
      <c r="T7">
        <f>VLOOKUP(C7,'Giao CT'!$D$6:$S$20,7,0)</f>
        <v>3</v>
      </c>
      <c r="U7">
        <f>VLOOKUP(C7,GBOC!$E$7:$DG$29,$B$24,0)</f>
        <v>5</v>
      </c>
      <c r="V7">
        <f>IFERROR(U7/T7,0)</f>
        <v>1.6666666666666667</v>
      </c>
      <c r="W7">
        <f>T7-U7</f>
        <v>-2</v>
      </c>
      <c r="X7">
        <f>VLOOKUP(C7,'Giao CT'!$D$6:$S$20,8,0)</f>
        <v>1</v>
      </c>
      <c r="Y7">
        <f>VLOOKUP(C7,GBOC!$E$7:$DG$29,$B$25,0)</f>
        <v>2</v>
      </c>
      <c r="Z7">
        <f>IFERROR(Y7/X7,0)</f>
        <v>2</v>
      </c>
      <c r="AA7">
        <f>X7-Y7</f>
        <v>-1</v>
      </c>
      <c r="AB7">
        <f>VLOOKUP(C7,'Giao CT'!$D$6:$S$20,9,0)</f>
        <v>30</v>
      </c>
      <c r="AC7">
        <f>VLOOKUP(C7,GBOC!$E$7:$DG$29,$B$26,0)</f>
        <v>27</v>
      </c>
      <c r="AD7">
        <f>IFERROR(AC7/AB7,0)</f>
        <v>0.9</v>
      </c>
      <c r="AE7">
        <f>AB7-AC7</f>
        <v>3</v>
      </c>
      <c r="AF7">
        <f>VLOOKUP(C7,'Giao CT'!$D$6:$S$20,10,0)</f>
        <v>8</v>
      </c>
      <c r="AG7">
        <f>VLOOKUP(C7,GBOC!$E$7:$DG$29,$B$27,0)</f>
        <v>6</v>
      </c>
      <c r="AH7">
        <f>IFERROR(AG7/AF7,0)</f>
        <v>0.75</v>
      </c>
      <c r="AI7">
        <f>AF7-AG7</f>
        <v>2</v>
      </c>
      <c r="AJ7">
        <f>VLOOKUP(C7,'Giao CT'!$D$6:$S$20,11,0)</f>
        <v>4</v>
      </c>
      <c r="AK7">
        <v>0</v>
      </c>
      <c r="AL7">
        <f>200%-IFERROR(AK7/AJ7,0)</f>
        <v>2</v>
      </c>
      <c r="AM7">
        <f>MAX(AL7,0)</f>
        <v>2</v>
      </c>
      <c r="AN7">
        <f>VLOOKUP(C7,'Giao CT'!$D$6:$S$20,12,0)</f>
        <v>5</v>
      </c>
      <c r="AO7">
        <f>VLOOKUP(C7,GBOC!$E$7:$DG$29,$B$29,0)</f>
        <v>0</v>
      </c>
      <c r="AP7">
        <f>200%-IFERROR(AO7/AN7,0)</f>
        <v>2</v>
      </c>
      <c r="AQ7">
        <f>MAX(AP7,0)</f>
        <v>2</v>
      </c>
      <c r="AR7">
        <v>0.97</v>
      </c>
      <c r="AS7">
        <f>(VLOOKUP(B7,cuoc!$B$7:$P$27,14,0))*1%</f>
        <v>0.7134999999999999</v>
      </c>
      <c r="AT7">
        <f>IF(AS7&lt;94.5%,0,IF(AS7&lt;95.54%,50%,IF(AS7&lt;AR7,80%,100%+(30%*(AS7-AR7)/3.39%))))</f>
        <v>0</v>
      </c>
      <c r="AU7">
        <f>AR7-AS7</f>
        <v>0.25650000000000006</v>
      </c>
      <c r="AV7">
        <f>VLOOKUP(C7,'Giao CT'!$D$6:$S$20,14,0)</f>
        <v>3</v>
      </c>
      <c r="AW7">
        <f>VLOOKUP(C7,GBOC!$E$7:$DG$29,$B$31,0)</f>
        <v>1</v>
      </c>
      <c r="AX7">
        <f>AW7/AV7</f>
        <v>0.3333333333333333</v>
      </c>
      <c r="AY7">
        <f>AV7-AW7</f>
        <v>2</v>
      </c>
      <c r="AZ7">
        <f>VLOOKUP(C7,'Giao CT'!$D$6:$S$20,15,0)</f>
        <v>1</v>
      </c>
      <c r="BA7">
        <f>VLOOKUP(C7,GBOC!$E$7:$DG$29,$B$32,0)</f>
        <v>0</v>
      </c>
      <c r="BB7">
        <f>IFERROR(BA7/AZ7,1)</f>
        <v>0</v>
      </c>
      <c r="BC7">
        <f>AZ7-BA7</f>
        <v>1</v>
      </c>
      <c r="BD7">
        <f>VLOOKUP(C7,'Giao CT'!$D$6:$S$20,16,0)</f>
        <v>0</v>
      </c>
      <c r="BE7">
        <f>VLOOKUP(C7,GBOC!$E$7:$DG$29,$B$33,0)</f>
        <v>0</v>
      </c>
      <c r="BF7">
        <f>IFERROR(BE7/BD7,1)</f>
        <v>1</v>
      </c>
      <c r="BG7">
        <f>BD7-BE7</f>
        <v>0</v>
      </c>
    </row>
    <row r="8">
      <c r="A8" t="str">
        <v>Trần Văn Hùng</v>
      </c>
      <c r="B8" t="str">
        <v>HUNGTV1_LDG_CNKD</v>
      </c>
      <c r="C8" t="str">
        <v>CNKD_LDG_HUNGTV1</v>
      </c>
      <c r="D8">
        <f>VLOOKUP(C8,'Giao CT'!$D$6:$S$20,3,0)</f>
        <v>7</v>
      </c>
      <c r="E8">
        <f>VLOOKUP(C8,GBOC!$E$7:$DG$29,$B$20,0)</f>
        <v>5</v>
      </c>
      <c r="F8">
        <f>IFERROR(E8/D8,0)</f>
        <v>0.7142857142857143</v>
      </c>
      <c r="G8">
        <f>D8-E8</f>
        <v>2</v>
      </c>
      <c r="H8">
        <f>VLOOKUP(C8,'Giao CT'!$D$6:$S$20,4,0)</f>
        <v>3</v>
      </c>
      <c r="I8">
        <f>VLOOKUP(C8,GBOC!$E$7:$DG$29,$B$21,0)</f>
        <v>4</v>
      </c>
      <c r="J8">
        <f>IFERROR(I8/H8,0)</f>
        <v>1.3333333333333333</v>
      </c>
      <c r="K8">
        <f>H8-I8</f>
        <v>-1</v>
      </c>
      <c r="L8">
        <f>VLOOKUP(C8,'Giao CT'!$D$6:$S$20,5,0)</f>
        <v>4</v>
      </c>
      <c r="M8">
        <f>VLOOKUP(C8,GBOC!$E$7:$DG$29,$B$22,0)</f>
        <v>2</v>
      </c>
      <c r="N8">
        <f>IFERROR(M8/L8,0)</f>
        <v>0.5</v>
      </c>
      <c r="O8">
        <f>L8-M8</f>
        <v>2</v>
      </c>
      <c r="P8">
        <f>VLOOKUP(C8,'Giao CT'!$D$6:$S$20,6,0)</f>
        <v>4</v>
      </c>
      <c r="Q8">
        <f>VLOOKUP(C8,GBOC!$E$7:$DG$29,$B$23,0)</f>
        <v>3</v>
      </c>
      <c r="R8">
        <f>IFERROR(Q8/P8,0)</f>
        <v>0.75</v>
      </c>
      <c r="S8">
        <f>P8-Q8</f>
        <v>1</v>
      </c>
      <c r="T8">
        <f>VLOOKUP(C8,'Giao CT'!$D$6:$S$20,7,0)</f>
        <v>3</v>
      </c>
      <c r="U8">
        <f>VLOOKUP(C8,GBOC!$E$7:$DG$29,$B$24,0)</f>
        <v>0</v>
      </c>
      <c r="V8">
        <f>IFERROR(U8/T8,0)</f>
        <v>0</v>
      </c>
      <c r="W8">
        <f>T8-U8</f>
        <v>3</v>
      </c>
      <c r="X8">
        <f>VLOOKUP(C8,'Giao CT'!$D$6:$S$20,8,0)</f>
        <v>1</v>
      </c>
      <c r="Y8">
        <f>VLOOKUP(C8,GBOC!$E$7:$DG$29,$B$25,0)</f>
        <v>0</v>
      </c>
      <c r="Z8">
        <f>IFERROR(Y8/X8,0)</f>
        <v>0</v>
      </c>
      <c r="AA8">
        <f>X8-Y8</f>
        <v>1</v>
      </c>
      <c r="AB8">
        <f>VLOOKUP(C8,'Giao CT'!$D$6:$S$20,9,0)</f>
        <v>30</v>
      </c>
      <c r="AC8">
        <f>VLOOKUP(C8,GBOC!$E$7:$DG$29,$B$26,0)</f>
        <v>9</v>
      </c>
      <c r="AD8">
        <f>IFERROR(AC8/AB8,0)</f>
        <v>0.3</v>
      </c>
      <c r="AE8">
        <f>AB8-AC8</f>
        <v>21</v>
      </c>
      <c r="AF8">
        <f>VLOOKUP(C8,'Giao CT'!$D$6:$S$20,10,0)</f>
        <v>8</v>
      </c>
      <c r="AG8">
        <f>VLOOKUP(C8,GBOC!$E$7:$DG$29,$B$27,0)</f>
        <v>0</v>
      </c>
      <c r="AH8">
        <f>IFERROR(AG8/AF8,0)</f>
        <v>0</v>
      </c>
      <c r="AI8">
        <f>AF8-AG8</f>
        <v>8</v>
      </c>
      <c r="AJ8">
        <f>VLOOKUP(C8,'Giao CT'!$D$6:$S$20,11,0)</f>
        <v>4</v>
      </c>
      <c r="AK8">
        <v>5</v>
      </c>
      <c r="AL8">
        <f>200%-IFERROR(AK8/AJ8,0)</f>
        <v>0.75</v>
      </c>
      <c r="AM8">
        <f>MAX(AL8,0)</f>
        <v>0.75</v>
      </c>
      <c r="AN8">
        <f>VLOOKUP(C8,'Giao CT'!$D$6:$S$20,12,0)</f>
        <v>3</v>
      </c>
      <c r="AO8">
        <f>VLOOKUP(C8,GBOC!$E$7:$DG$29,$B$29,0)</f>
        <v>0</v>
      </c>
      <c r="AP8">
        <f>200%-IFERROR(AO8/AN8,0)</f>
        <v>2</v>
      </c>
      <c r="AQ8">
        <f>MAX(AP8,0)</f>
        <v>2</v>
      </c>
      <c r="AR8">
        <v>0.97</v>
      </c>
      <c r="AS8">
        <f>(VLOOKUP(B8,cuoc!$B$7:$P$27,14,0))*1%</f>
        <v>0.2847</v>
      </c>
      <c r="AT8">
        <f>IF(AS8&lt;94.5%,0,IF(AS8&lt;95.54%,50%,IF(AS8&lt;AR8,80%,100%+(30%*(AS8-AR8)/3.39%))))</f>
        <v>0</v>
      </c>
      <c r="AU8">
        <f>AR8-AS8</f>
        <v>0.6853</v>
      </c>
      <c r="AV8">
        <f>VLOOKUP(C8,'Giao CT'!$D$6:$S$20,14,0)</f>
        <v>1</v>
      </c>
      <c r="AW8">
        <f>VLOOKUP(C8,GBOC!$E$7:$DG$29,$B$31,0)</f>
        <v>0</v>
      </c>
      <c r="AX8">
        <f>AW8/AV8</f>
        <v>0</v>
      </c>
      <c r="AY8">
        <f>AV8-AW8</f>
        <v>1</v>
      </c>
      <c r="AZ8">
        <f>VLOOKUP(C8,'Giao CT'!$D$6:$S$20,15,0)</f>
        <v>1</v>
      </c>
      <c r="BA8">
        <f>VLOOKUP(C8,GBOC!$E$7:$DG$29,$B$32,0)</f>
        <v>0</v>
      </c>
      <c r="BB8">
        <f>IFERROR(BA8/AZ8,1)</f>
        <v>0</v>
      </c>
      <c r="BC8">
        <f>AZ8-BA8</f>
        <v>1</v>
      </c>
      <c r="BD8">
        <f>VLOOKUP(C8,'Giao CT'!$D$6:$S$20,16,0)</f>
        <v>0</v>
      </c>
      <c r="BE8">
        <f>VLOOKUP(C8,GBOC!$E$7:$DG$29,$B$33,0)</f>
        <v>0</v>
      </c>
      <c r="BF8">
        <f>IFERROR(BE8/BD8,1)</f>
        <v>1</v>
      </c>
      <c r="BG8">
        <f>BD8-BE8</f>
        <v>0</v>
      </c>
    </row>
    <row r="9">
      <c r="A9" t="str">
        <v>Nguyễn Thị Song Hương</v>
      </c>
      <c r="B9" t="str">
        <v>HUONGNTS_LDG_CNKD</v>
      </c>
      <c r="C9" t="str">
        <v>CNKD_LDG_HUONGNTS</v>
      </c>
      <c r="D9">
        <f>VLOOKUP(C9,'Giao CT'!$D$6:$S$20,3,0)</f>
        <v>7</v>
      </c>
      <c r="E9">
        <f>VLOOKUP(C9,GBOC!$E$7:$DG$29,$B$20,0)</f>
        <v>8</v>
      </c>
      <c r="F9">
        <f>IFERROR(E9/D9,0)</f>
        <v>1.1428571428571428</v>
      </c>
      <c r="G9">
        <f>D9-E9</f>
        <v>-1</v>
      </c>
      <c r="H9">
        <f>VLOOKUP(C9,'Giao CT'!$D$6:$S$20,4,0)</f>
        <v>4</v>
      </c>
      <c r="I9">
        <f>VLOOKUP(C9,GBOC!$E$7:$DG$29,$B$21,0)</f>
        <v>4</v>
      </c>
      <c r="J9">
        <f>IFERROR(I9/H9,0)</f>
        <v>1</v>
      </c>
      <c r="K9">
        <f>H9-I9</f>
        <v>0</v>
      </c>
      <c r="L9">
        <f>VLOOKUP(C9,'Giao CT'!$D$6:$S$20,5,0)</f>
        <v>5</v>
      </c>
      <c r="M9">
        <f>VLOOKUP(C9,GBOC!$E$7:$DG$29,$B$22,0)</f>
        <v>4</v>
      </c>
      <c r="N9">
        <f>IFERROR(M9/L9,0)</f>
        <v>0.8</v>
      </c>
      <c r="O9">
        <f>L9-M9</f>
        <v>1</v>
      </c>
      <c r="P9">
        <f>VLOOKUP(C9,'Giao CT'!$D$6:$S$20,6,0)</f>
        <v>4</v>
      </c>
      <c r="Q9">
        <f>VLOOKUP(C9,GBOC!$E$7:$DG$29,$B$23,0)</f>
        <v>3</v>
      </c>
      <c r="R9">
        <f>IFERROR(Q9/P9,0)</f>
        <v>0.75</v>
      </c>
      <c r="S9">
        <f>P9-Q9</f>
        <v>1</v>
      </c>
      <c r="T9">
        <f>VLOOKUP(C9,'Giao CT'!$D$6:$S$20,7,0)</f>
        <v>4</v>
      </c>
      <c r="U9">
        <f>VLOOKUP(C9,GBOC!$E$7:$DG$29,$B$24,0)</f>
        <v>3</v>
      </c>
      <c r="V9">
        <f>IFERROR(U9/T9,0)</f>
        <v>0.75</v>
      </c>
      <c r="W9">
        <f>T9-U9</f>
        <v>1</v>
      </c>
      <c r="X9">
        <f>VLOOKUP(C9,'Giao CT'!$D$6:$S$20,8,0)</f>
        <v>1</v>
      </c>
      <c r="Y9">
        <f>VLOOKUP(C9,GBOC!$E$7:$DG$29,$B$25,0)</f>
        <v>8</v>
      </c>
      <c r="Z9">
        <f>IFERROR(Y9/X9,0)</f>
        <v>8</v>
      </c>
      <c r="AA9">
        <f>X9-Y9</f>
        <v>-7</v>
      </c>
      <c r="AB9">
        <f>VLOOKUP(C9,'Giao CT'!$D$6:$S$20,9,0)</f>
        <v>40</v>
      </c>
      <c r="AC9">
        <f>VLOOKUP(C9,GBOC!$E$7:$DG$29,$B$26,0)</f>
        <v>84</v>
      </c>
      <c r="AD9">
        <f>IFERROR(AC9/AB9,0)</f>
        <v>2.1</v>
      </c>
      <c r="AE9">
        <f>AB9-AC9</f>
        <v>-44</v>
      </c>
      <c r="AF9">
        <f>VLOOKUP(C9,'Giao CT'!$D$6:$S$20,10,0)</f>
        <v>8</v>
      </c>
      <c r="AG9">
        <f>VLOOKUP(C9,GBOC!$E$7:$DG$29,$B$27,0)</f>
        <v>7</v>
      </c>
      <c r="AH9">
        <f>IFERROR(AG9/AF9,0)</f>
        <v>0.875</v>
      </c>
      <c r="AI9">
        <f>AF9-AG9</f>
        <v>1</v>
      </c>
      <c r="AJ9">
        <f>VLOOKUP(C9,'Giao CT'!$D$6:$S$20,11,0)</f>
        <v>3</v>
      </c>
      <c r="AK9">
        <v>5</v>
      </c>
      <c r="AL9">
        <f>200%-IFERROR(AK9/AJ9,0)</f>
        <v>0.33333333333333326</v>
      </c>
      <c r="AM9">
        <f>MAX(AL9,0)</f>
        <v>0.33333333333333326</v>
      </c>
      <c r="AN9">
        <f>VLOOKUP(C9,'Giao CT'!$D$6:$S$20,12,0)</f>
        <v>4</v>
      </c>
      <c r="AO9">
        <f>VLOOKUP(C9,GBOC!$E$7:$DG$29,$B$29,0)</f>
        <v>0</v>
      </c>
      <c r="AP9">
        <f>200%-IFERROR(AO9/AN9,0)</f>
        <v>2</v>
      </c>
      <c r="AQ9">
        <f>MAX(AP9,0)</f>
        <v>2</v>
      </c>
      <c r="AR9">
        <v>0.97</v>
      </c>
      <c r="AS9">
        <f>(VLOOKUP(B9,cuoc!$B$7:$P$27,14,0))*1%</f>
        <v>0.5216</v>
      </c>
      <c r="AT9">
        <f>IF(AS9&lt;94.5%,0,IF(AS9&lt;95.54%,50%,IF(AS9&lt;AR9,80%,100%+(30%*(AS9-AR9)/3.39%))))</f>
        <v>0</v>
      </c>
      <c r="AU9">
        <f>AR9-AS9</f>
        <v>0.4484</v>
      </c>
      <c r="AV9">
        <f>VLOOKUP(C9,'Giao CT'!$D$6:$S$20,14,0)</f>
        <v>2</v>
      </c>
      <c r="AW9">
        <f>VLOOKUP(C9,GBOC!$E$7:$DG$29,$B$31,0)</f>
        <v>0</v>
      </c>
      <c r="AX9">
        <f>AW9/AV9</f>
        <v>0</v>
      </c>
      <c r="AY9">
        <f>AV9-AW9</f>
        <v>2</v>
      </c>
      <c r="AZ9">
        <f>VLOOKUP(C9,'Giao CT'!$D$6:$S$20,15,0)</f>
        <v>1</v>
      </c>
      <c r="BA9">
        <f>VLOOKUP(C9,GBOC!$E$7:$DG$29,$B$32,0)</f>
        <v>1</v>
      </c>
      <c r="BB9">
        <f>IFERROR(BA9/AZ9,1)</f>
        <v>1</v>
      </c>
      <c r="BC9">
        <f>AZ9-BA9</f>
        <v>0</v>
      </c>
      <c r="BD9">
        <f>VLOOKUP(C9,'Giao CT'!$D$6:$S$20,16,0)</f>
        <v>0</v>
      </c>
      <c r="BE9">
        <f>VLOOKUP(C9,GBOC!$E$7:$DG$29,$B$33,0)</f>
        <v>0</v>
      </c>
      <c r="BF9">
        <f>IFERROR(BE9/BD9,1)</f>
        <v>1</v>
      </c>
      <c r="BG9">
        <f>BD9-BE9</f>
        <v>0</v>
      </c>
    </row>
    <row r="10">
      <c r="A10" t="str">
        <v>Vũ Thị Thu Hương</v>
      </c>
      <c r="B10" t="str">
        <v>HUONGVTT_LDG_CNKD</v>
      </c>
      <c r="C10" t="str">
        <v>CNKD_LDG_HUONGVTT</v>
      </c>
      <c r="D10">
        <f>VLOOKUP(C10,'Giao CT'!$D$6:$S$20,3,0)</f>
        <v>7</v>
      </c>
      <c r="E10">
        <f>VLOOKUP(C10,GBOC!$E$7:$DG$29,$B$20,0)</f>
        <v>5</v>
      </c>
      <c r="F10">
        <f>IFERROR(E10/D10,0)</f>
        <v>0.7142857142857143</v>
      </c>
      <c r="G10">
        <f>D10-E10</f>
        <v>2</v>
      </c>
      <c r="H10">
        <f>VLOOKUP(C10,'Giao CT'!$D$6:$S$20,4,0)</f>
        <v>3</v>
      </c>
      <c r="I10">
        <f>VLOOKUP(C10,GBOC!$E$7:$DG$29,$B$21,0)</f>
        <v>2</v>
      </c>
      <c r="J10">
        <f>IFERROR(I10/H10,0)</f>
        <v>0.6666666666666666</v>
      </c>
      <c r="K10">
        <f>H10-I10</f>
        <v>1</v>
      </c>
      <c r="L10">
        <f>VLOOKUP(C10,'Giao CT'!$D$6:$S$20,5,0)</f>
        <v>4</v>
      </c>
      <c r="M10">
        <f>VLOOKUP(C10,GBOC!$E$7:$DG$29,$B$22,0)</f>
        <v>1</v>
      </c>
      <c r="N10">
        <f>IFERROR(M10/L10,0)</f>
        <v>0.25</v>
      </c>
      <c r="O10">
        <f>L10-M10</f>
        <v>3</v>
      </c>
      <c r="P10">
        <f>VLOOKUP(C10,'Giao CT'!$D$6:$S$20,6,0)</f>
        <v>4</v>
      </c>
      <c r="Q10">
        <f>VLOOKUP(C10,GBOC!$E$7:$DG$29,$B$23,0)</f>
        <v>2</v>
      </c>
      <c r="R10">
        <f>IFERROR(Q10/P10,0)</f>
        <v>0.5</v>
      </c>
      <c r="S10">
        <f>P10-Q10</f>
        <v>2</v>
      </c>
      <c r="T10">
        <f>VLOOKUP(C10,'Giao CT'!$D$6:$S$20,7,0)</f>
        <v>3</v>
      </c>
      <c r="U10">
        <f>VLOOKUP(C10,GBOC!$E$7:$DG$29,$B$24,0)</f>
        <v>3</v>
      </c>
      <c r="V10">
        <f>IFERROR(U10/T10,0)</f>
        <v>1</v>
      </c>
      <c r="W10">
        <f>T10-U10</f>
        <v>0</v>
      </c>
      <c r="X10">
        <f>VLOOKUP(C10,'Giao CT'!$D$6:$S$20,8,0)</f>
        <v>1</v>
      </c>
      <c r="Y10">
        <f>VLOOKUP(C10,GBOC!$E$7:$DG$29,$B$25,0)</f>
        <v>2</v>
      </c>
      <c r="Z10">
        <f>IFERROR(Y10/X10,0)</f>
        <v>2</v>
      </c>
      <c r="AA10">
        <f>X10-Y10</f>
        <v>-1</v>
      </c>
      <c r="AB10">
        <f>VLOOKUP(C10,'Giao CT'!$D$6:$S$20,9,0)</f>
        <v>30</v>
      </c>
      <c r="AC10">
        <f>VLOOKUP(C10,GBOC!$E$7:$DG$29,$B$26,0)</f>
        <v>26</v>
      </c>
      <c r="AD10">
        <f>IFERROR(AC10/AB10,0)</f>
        <v>0.8666666666666667</v>
      </c>
      <c r="AE10">
        <f>AB10-AC10</f>
        <v>4</v>
      </c>
      <c r="AF10">
        <f>VLOOKUP(C10,'Giao CT'!$D$6:$S$20,10,0)</f>
        <v>8</v>
      </c>
      <c r="AG10">
        <f>VLOOKUP(C10,GBOC!$E$7:$DG$29,$B$27,0)</f>
        <v>3</v>
      </c>
      <c r="AH10">
        <f>IFERROR(AG10/AF10,0)</f>
        <v>0.375</v>
      </c>
      <c r="AI10">
        <f>AF10-AG10</f>
        <v>5</v>
      </c>
      <c r="AJ10">
        <f>VLOOKUP(C10,'Giao CT'!$D$6:$S$20,11,0)</f>
        <v>4</v>
      </c>
      <c r="AK10">
        <v>3</v>
      </c>
      <c r="AL10">
        <f>200%-IFERROR(AK10/AJ10,0)</f>
        <v>1.25</v>
      </c>
      <c r="AM10">
        <f>MAX(AL10,0)</f>
        <v>1.25</v>
      </c>
      <c r="AN10">
        <f>VLOOKUP(C10,'Giao CT'!$D$6:$S$20,12,0)</f>
        <v>4</v>
      </c>
      <c r="AO10">
        <f>VLOOKUP(C10,GBOC!$E$7:$DG$29,$B$29,0)</f>
        <v>0</v>
      </c>
      <c r="AP10">
        <f>200%-IFERROR(AO10/AN10,0)</f>
        <v>2</v>
      </c>
      <c r="AQ10">
        <f>MAX(AP10,0)</f>
        <v>2</v>
      </c>
      <c r="AR10">
        <v>0.97</v>
      </c>
      <c r="AS10">
        <f>(VLOOKUP(B10,cuoc!$B$7:$P$27,14,0))*1%</f>
        <v>0.4755</v>
      </c>
      <c r="AT10">
        <f>IF(AS10&lt;94.5%,0,IF(AS10&lt;95.54%,50%,IF(AS10&lt;AR10,80%,100%+(30%*(AS10-AR10)/3.39%))))</f>
        <v>0</v>
      </c>
      <c r="AU10">
        <f>AR10-AS10</f>
        <v>0.4945</v>
      </c>
      <c r="AV10">
        <f>VLOOKUP(C10,'Giao CT'!$D$6:$S$20,14,0)</f>
        <v>1</v>
      </c>
      <c r="AW10">
        <f>VLOOKUP(C10,GBOC!$E$7:$DG$29,$B$31,0)</f>
        <v>0</v>
      </c>
      <c r="AX10">
        <f>AW10/AV10</f>
        <v>0</v>
      </c>
      <c r="AY10">
        <f>AV10-AW10</f>
        <v>1</v>
      </c>
      <c r="AZ10">
        <f>VLOOKUP(C10,'Giao CT'!$D$6:$S$20,15,0)</f>
        <v>1</v>
      </c>
      <c r="BA10">
        <f>VLOOKUP(C10,GBOC!$E$7:$DG$29,$B$32,0)</f>
        <v>0</v>
      </c>
      <c r="BB10">
        <f>IFERROR(BA10/AZ10,1)</f>
        <v>0</v>
      </c>
      <c r="BC10">
        <f>AZ10-BA10</f>
        <v>1</v>
      </c>
      <c r="BD10">
        <f>VLOOKUP(C10,'Giao CT'!$D$6:$S$20,16,0)</f>
        <v>0</v>
      </c>
      <c r="BE10">
        <f>VLOOKUP(C10,GBOC!$E$7:$DG$29,$B$33,0)</f>
        <v>0</v>
      </c>
      <c r="BF10">
        <f>IFERROR(BE10/BD10,1)</f>
        <v>1</v>
      </c>
      <c r="BG10">
        <f>BD10-BE10</f>
        <v>0</v>
      </c>
    </row>
    <row r="11">
      <c r="A11" t="str">
        <v>Phạm Mỹ Linh</v>
      </c>
      <c r="B11" t="str">
        <v>LINHPM_LDG_CNKD</v>
      </c>
      <c r="C11" t="str">
        <v>CNKD_LDG_LINHPM</v>
      </c>
      <c r="D11">
        <f>VLOOKUP(C11,'Giao CT'!$D$6:$S$20,3,0)</f>
        <v>8</v>
      </c>
      <c r="E11">
        <f>VLOOKUP(C11,GBOC!$E$7:$DG$29,$B$20,0)</f>
        <v>8</v>
      </c>
      <c r="F11">
        <f>IFERROR(E11/D11,0)</f>
        <v>1</v>
      </c>
      <c r="G11">
        <f>D11-E11</f>
        <v>0</v>
      </c>
      <c r="H11">
        <f>VLOOKUP(C11,'Giao CT'!$D$6:$S$20,4,0)</f>
        <v>4</v>
      </c>
      <c r="I11">
        <f>VLOOKUP(C11,GBOC!$E$7:$DG$29,$B$21,0)</f>
        <v>3</v>
      </c>
      <c r="J11">
        <f>IFERROR(I11/H11,0)</f>
        <v>0.75</v>
      </c>
      <c r="K11">
        <f>H11-I11</f>
        <v>1</v>
      </c>
      <c r="L11">
        <f>VLOOKUP(C11,'Giao CT'!$D$6:$S$20,5,0)</f>
        <v>5</v>
      </c>
      <c r="M11">
        <f>VLOOKUP(C11,GBOC!$E$7:$DG$29,$B$22,0)</f>
        <v>4</v>
      </c>
      <c r="N11">
        <f>IFERROR(M11/L11,0)</f>
        <v>0.8</v>
      </c>
      <c r="O11">
        <f>L11-M11</f>
        <v>1</v>
      </c>
      <c r="P11">
        <f>VLOOKUP(C11,'Giao CT'!$D$6:$S$20,6,0)</f>
        <v>5</v>
      </c>
      <c r="Q11">
        <f>VLOOKUP(C11,GBOC!$E$7:$DG$29,$B$23,0)</f>
        <v>1</v>
      </c>
      <c r="R11">
        <f>IFERROR(Q11/P11,0)</f>
        <v>0.2</v>
      </c>
      <c r="S11">
        <f>P11-Q11</f>
        <v>4</v>
      </c>
      <c r="T11">
        <f>VLOOKUP(C11,'Giao CT'!$D$6:$S$20,7,0)</f>
        <v>4</v>
      </c>
      <c r="U11">
        <f>VLOOKUP(C11,GBOC!$E$7:$DG$29,$B$24,0)</f>
        <v>3</v>
      </c>
      <c r="V11">
        <f>IFERROR(U11/T11,0)</f>
        <v>0.75</v>
      </c>
      <c r="W11">
        <f>T11-U11</f>
        <v>1</v>
      </c>
      <c r="X11">
        <f>VLOOKUP(C11,'Giao CT'!$D$6:$S$20,8,0)</f>
        <v>1</v>
      </c>
      <c r="Y11">
        <f>VLOOKUP(C11,GBOC!$E$7:$DG$29,$B$25,0)</f>
        <v>0</v>
      </c>
      <c r="Z11">
        <f>IFERROR(Y11/X11,0)</f>
        <v>0</v>
      </c>
      <c r="AA11">
        <f>X11-Y11</f>
        <v>1</v>
      </c>
      <c r="AB11">
        <f>VLOOKUP(C11,'Giao CT'!$D$6:$S$20,9,0)</f>
        <v>50</v>
      </c>
      <c r="AC11">
        <f>VLOOKUP(C11,GBOC!$E$7:$DG$29,$B$26,0)</f>
        <v>66</v>
      </c>
      <c r="AD11">
        <f>IFERROR(AC11/AB11,0)</f>
        <v>1.32</v>
      </c>
      <c r="AE11">
        <f>AB11-AC11</f>
        <v>-16</v>
      </c>
      <c r="AF11">
        <f>VLOOKUP(C11,'Giao CT'!$D$6:$S$20,10,0)</f>
        <v>9</v>
      </c>
      <c r="AG11">
        <f>VLOOKUP(C11,GBOC!$E$7:$DG$29,$B$27,0)</f>
        <v>11</v>
      </c>
      <c r="AH11">
        <f>IFERROR(AG11/AF11,0)</f>
        <v>1.2222222222222223</v>
      </c>
      <c r="AI11">
        <f>AF11-AG11</f>
        <v>-2</v>
      </c>
      <c r="AJ11">
        <f>VLOOKUP(C11,'Giao CT'!$D$6:$S$20,11,0)</f>
        <v>4</v>
      </c>
      <c r="AK11">
        <v>19</v>
      </c>
      <c r="AL11">
        <f>200%-IFERROR(AK11/AJ11,0)</f>
        <v>-2.75</v>
      </c>
      <c r="AM11">
        <f>MAX(AL11,0)</f>
        <v>0</v>
      </c>
      <c r="AN11">
        <f>VLOOKUP(C11,'Giao CT'!$D$6:$S$20,12,0)</f>
        <v>5</v>
      </c>
      <c r="AO11">
        <f>VLOOKUP(C11,GBOC!$E$7:$DG$29,$B$29,0)</f>
        <v>0</v>
      </c>
      <c r="AP11">
        <f>200%-IFERROR(AO11/AN11,0)</f>
        <v>2</v>
      </c>
      <c r="AQ11">
        <f>MAX(AP11,0)</f>
        <v>2</v>
      </c>
      <c r="AR11">
        <v>0.97</v>
      </c>
      <c r="AS11">
        <f>(VLOOKUP(B11,cuoc!$B$7:$P$27,14,0))*1%</f>
        <v>0.6144</v>
      </c>
      <c r="AT11">
        <f>IF(AS11&lt;94.5%,0,IF(AS11&lt;95.54%,50%,IF(AS11&lt;AR11,80%,100%+(30%*(AS11-AR11)/3.39%))))</f>
        <v>0</v>
      </c>
      <c r="AU11">
        <f>AR11-AS11</f>
        <v>0.3556</v>
      </c>
      <c r="AV11">
        <f>VLOOKUP(C11,'Giao CT'!$D$6:$S$20,14,0)</f>
        <v>2</v>
      </c>
      <c r="AW11">
        <f>VLOOKUP(C11,GBOC!$E$7:$DG$29,$B$31,0)</f>
        <v>0</v>
      </c>
      <c r="AX11">
        <f>AW11/AV11</f>
        <v>0</v>
      </c>
      <c r="AY11">
        <f>AV11-AW11</f>
        <v>2</v>
      </c>
      <c r="AZ11">
        <f>VLOOKUP(C11,'Giao CT'!$D$6:$S$20,15,0)</f>
        <v>1</v>
      </c>
      <c r="BA11">
        <f>VLOOKUP(C11,GBOC!$E$7:$DG$29,$B$32,0)</f>
        <v>0</v>
      </c>
      <c r="BB11">
        <f>IFERROR(BA11/AZ11,1)</f>
        <v>0</v>
      </c>
      <c r="BC11">
        <f>AZ11-BA11</f>
        <v>1</v>
      </c>
      <c r="BD11">
        <f>VLOOKUP(C11,'Giao CT'!$D$6:$S$20,16,0)</f>
        <v>1</v>
      </c>
      <c r="BE11">
        <f>VLOOKUP(C11,GBOC!$E$7:$DG$29,$B$33,0)</f>
        <v>0</v>
      </c>
      <c r="BF11">
        <f>IFERROR(BE11/BD11,1)</f>
        <v>0</v>
      </c>
      <c r="BG11">
        <f>BD11-BE11</f>
        <v>1</v>
      </c>
    </row>
    <row r="12">
      <c r="A12" t="str">
        <v>Vũ Đức Nhuận</v>
      </c>
      <c r="B12" t="str">
        <v>NHUANVD_LDG_CNKD</v>
      </c>
      <c r="C12" t="str">
        <v>CNKD_LDG_NHUANVD</v>
      </c>
      <c r="D12">
        <f>VLOOKUP(C12,'Giao CT'!$D$6:$S$20,3,0)</f>
        <v>8</v>
      </c>
      <c r="E12">
        <f>VLOOKUP(C12,GBOC!$E$7:$DG$29,$B$20,0)</f>
        <v>9</v>
      </c>
      <c r="F12">
        <f>IFERROR(E12/D12,0)</f>
        <v>1.125</v>
      </c>
      <c r="G12">
        <f>D12-E12</f>
        <v>-1</v>
      </c>
      <c r="H12">
        <f>VLOOKUP(C12,'Giao CT'!$D$6:$S$20,4,0)</f>
        <v>4</v>
      </c>
      <c r="I12">
        <f>VLOOKUP(C12,GBOC!$E$7:$DG$29,$B$21,0)</f>
        <v>2</v>
      </c>
      <c r="J12">
        <f>IFERROR(I12/H12,0)</f>
        <v>0.5</v>
      </c>
      <c r="K12">
        <f>H12-I12</f>
        <v>2</v>
      </c>
      <c r="L12">
        <f>VLOOKUP(C12,'Giao CT'!$D$6:$S$20,5,0)</f>
        <v>5</v>
      </c>
      <c r="M12">
        <f>VLOOKUP(C12,GBOC!$E$7:$DG$29,$B$22,0)</f>
        <v>3</v>
      </c>
      <c r="N12">
        <f>IFERROR(M12/L12,0)</f>
        <v>0.6</v>
      </c>
      <c r="O12">
        <f>L12-M12</f>
        <v>2</v>
      </c>
      <c r="P12">
        <f>VLOOKUP(C12,'Giao CT'!$D$6:$S$20,6,0)</f>
        <v>5</v>
      </c>
      <c r="Q12">
        <f>VLOOKUP(C12,GBOC!$E$7:$DG$29,$B$23,0)</f>
        <v>6</v>
      </c>
      <c r="R12">
        <f>IFERROR(Q12/P12,0)</f>
        <v>1.2</v>
      </c>
      <c r="S12">
        <f>P12-Q12</f>
        <v>-1</v>
      </c>
      <c r="T12">
        <f>VLOOKUP(C12,'Giao CT'!$D$6:$S$20,7,0)</f>
        <v>3</v>
      </c>
      <c r="U12">
        <f>VLOOKUP(C12,GBOC!$E$7:$DG$29,$B$24,0)</f>
        <v>2</v>
      </c>
      <c r="V12">
        <f>IFERROR(U12/T12,0)</f>
        <v>0.6666666666666666</v>
      </c>
      <c r="W12">
        <f>T12-U12</f>
        <v>1</v>
      </c>
      <c r="X12">
        <f>VLOOKUP(C12,'Giao CT'!$D$6:$S$20,8,0)</f>
        <v>1</v>
      </c>
      <c r="Y12">
        <f>VLOOKUP(C12,GBOC!$E$7:$DG$29,$B$25,0)</f>
        <v>1</v>
      </c>
      <c r="Z12">
        <f>IFERROR(Y12/X12,0)</f>
        <v>1</v>
      </c>
      <c r="AA12">
        <f>X12-Y12</f>
        <v>0</v>
      </c>
      <c r="AB12">
        <f>VLOOKUP(C12,'Giao CT'!$D$6:$S$20,9,0)</f>
        <v>30</v>
      </c>
      <c r="AC12">
        <f>VLOOKUP(C12,GBOC!$E$7:$DG$29,$B$26,0)</f>
        <v>60</v>
      </c>
      <c r="AD12">
        <f>IFERROR(AC12/AB12,0)</f>
        <v>2</v>
      </c>
      <c r="AE12">
        <f>AB12-AC12</f>
        <v>-30</v>
      </c>
      <c r="AF12">
        <f>VLOOKUP(C12,'Giao CT'!$D$6:$S$20,10,0)</f>
        <v>9</v>
      </c>
      <c r="AG12">
        <f>VLOOKUP(C12,GBOC!$E$7:$DG$29,$B$27,0)</f>
        <v>11</v>
      </c>
      <c r="AH12">
        <f>IFERROR(AG12/AF12,0)</f>
        <v>1.2222222222222223</v>
      </c>
      <c r="AI12">
        <f>AF12-AG12</f>
        <v>-2</v>
      </c>
      <c r="AJ12">
        <f>VLOOKUP(C12,'Giao CT'!$D$6:$S$20,11,0)</f>
        <v>4</v>
      </c>
      <c r="AK12">
        <v>4</v>
      </c>
      <c r="AL12">
        <f>200%-IFERROR(AK12/AJ12,0)</f>
        <v>1</v>
      </c>
      <c r="AM12">
        <f>MAX(AL12,0)</f>
        <v>1</v>
      </c>
      <c r="AN12">
        <f>VLOOKUP(C12,'Giao CT'!$D$6:$S$20,12,0)</f>
        <v>5</v>
      </c>
      <c r="AO12">
        <f>VLOOKUP(C12,GBOC!$E$7:$DG$29,$B$29,0)</f>
        <v>0</v>
      </c>
      <c r="AP12">
        <f>200%-IFERROR(AO12/AN12,0)</f>
        <v>2</v>
      </c>
      <c r="AQ12">
        <f>MAX(AP12,0)</f>
        <v>2</v>
      </c>
      <c r="AR12">
        <v>0.97</v>
      </c>
      <c r="AS12">
        <f>(VLOOKUP(B12,cuoc!$B$7:$P$27,14,0))*1%</f>
        <v>0.5166</v>
      </c>
      <c r="AT12">
        <f>IF(AS12&lt;94.5%,0,IF(AS12&lt;95.54%,50%,IF(AS12&lt;AR12,80%,100%+(30%*(AS12-AR12)/3.39%))))</f>
        <v>0</v>
      </c>
      <c r="AU12">
        <f>AR12-AS12</f>
        <v>0.4534</v>
      </c>
      <c r="AV12">
        <f>VLOOKUP(C12,'Giao CT'!$D$6:$S$20,14,0)</f>
        <v>3</v>
      </c>
      <c r="AW12">
        <f>VLOOKUP(C12,GBOC!$E$7:$DG$29,$B$31,0)</f>
        <v>0</v>
      </c>
      <c r="AX12">
        <f>AW12/AV12</f>
        <v>0</v>
      </c>
      <c r="AY12">
        <f>AV12-AW12</f>
        <v>3</v>
      </c>
      <c r="AZ12">
        <f>VLOOKUP(C12,'Giao CT'!$D$6:$S$20,15,0)</f>
        <v>1</v>
      </c>
      <c r="BA12">
        <f>VLOOKUP(C12,GBOC!$E$7:$DG$29,$B$32,0)</f>
        <v>1</v>
      </c>
      <c r="BB12">
        <f>IFERROR(BA12/AZ12,1)</f>
        <v>1</v>
      </c>
      <c r="BC12">
        <f>AZ12-BA12</f>
        <v>0</v>
      </c>
      <c r="BD12">
        <f>VLOOKUP(C12,'Giao CT'!$D$6:$S$20,16,0)</f>
        <v>0</v>
      </c>
      <c r="BE12">
        <f>VLOOKUP(C12,GBOC!$E$7:$DG$29,$B$33,0)</f>
        <v>0</v>
      </c>
      <c r="BF12">
        <f>IFERROR(BE12/BD12,1)</f>
        <v>1</v>
      </c>
      <c r="BG12">
        <f>BD12-BE12</f>
        <v>0</v>
      </c>
    </row>
    <row r="13">
      <c r="A13" t="str">
        <v>Nguyễn Thị Thu Phượng</v>
      </c>
      <c r="B13" t="str">
        <v>PHUONGNTT1_LDG_CNKD</v>
      </c>
      <c r="C13" t="str">
        <v>CNKD_LDG_PHUONGNTT1</v>
      </c>
      <c r="D13">
        <f>VLOOKUP(C13,'Giao CT'!$D$6:$S$20,3,0)</f>
        <v>7</v>
      </c>
      <c r="E13">
        <f>VLOOKUP(C13,GBOC!$E$7:$DG$29,$B$20,0)</f>
        <v>6</v>
      </c>
      <c r="F13">
        <f>IFERROR(E13/D13,0)</f>
        <v>0.8571428571428571</v>
      </c>
      <c r="G13">
        <f>D13-E13</f>
        <v>1</v>
      </c>
      <c r="H13">
        <f>VLOOKUP(C13,'Giao CT'!$D$6:$S$20,4,0)</f>
        <v>4</v>
      </c>
      <c r="I13">
        <f>VLOOKUP(C13,GBOC!$E$7:$DG$29,$B$21,0)</f>
        <v>9</v>
      </c>
      <c r="J13">
        <f>IFERROR(I13/H13,0)</f>
        <v>2.25</v>
      </c>
      <c r="K13">
        <f>H13-I13</f>
        <v>-5</v>
      </c>
      <c r="L13">
        <f>VLOOKUP(C13,'Giao CT'!$D$6:$S$20,5,0)</f>
        <v>5</v>
      </c>
      <c r="M13">
        <f>VLOOKUP(C13,GBOC!$E$7:$DG$29,$B$22,0)</f>
        <v>3</v>
      </c>
      <c r="N13">
        <f>IFERROR(M13/L13,0)</f>
        <v>0.6</v>
      </c>
      <c r="O13">
        <f>L13-M13</f>
        <v>2</v>
      </c>
      <c r="P13">
        <f>VLOOKUP(C13,'Giao CT'!$D$6:$S$20,6,0)</f>
        <v>4</v>
      </c>
      <c r="Q13">
        <f>VLOOKUP(C13,GBOC!$E$7:$DG$29,$B$23,0)</f>
        <v>6</v>
      </c>
      <c r="R13">
        <f>IFERROR(Q13/P13,0)</f>
        <v>1.5</v>
      </c>
      <c r="S13">
        <f>P13-Q13</f>
        <v>-2</v>
      </c>
      <c r="T13">
        <f>VLOOKUP(C13,'Giao CT'!$D$6:$S$20,7,0)</f>
        <v>4</v>
      </c>
      <c r="U13">
        <f>VLOOKUP(C13,GBOC!$E$7:$DG$29,$B$24,0)</f>
        <v>5</v>
      </c>
      <c r="V13">
        <f>IFERROR(U13/T13,0)</f>
        <v>1.25</v>
      </c>
      <c r="W13">
        <f>T13-U13</f>
        <v>-1</v>
      </c>
      <c r="X13">
        <f>VLOOKUP(C13,'Giao CT'!$D$6:$S$20,8,0)</f>
        <v>1</v>
      </c>
      <c r="Y13">
        <f>VLOOKUP(C13,GBOC!$E$7:$DG$29,$B$25,0)</f>
        <v>9</v>
      </c>
      <c r="Z13">
        <f>IFERROR(Y13/X13,0)</f>
        <v>9</v>
      </c>
      <c r="AA13">
        <f>X13-Y13</f>
        <v>-8</v>
      </c>
      <c r="AB13">
        <f>VLOOKUP(C13,'Giao CT'!$D$6:$S$20,9,0)</f>
        <v>30</v>
      </c>
      <c r="AC13">
        <f>VLOOKUP(C13,GBOC!$E$7:$DG$29,$B$26,0)</f>
        <v>66</v>
      </c>
      <c r="AD13">
        <f>IFERROR(AC13/AB13,0)</f>
        <v>2.2</v>
      </c>
      <c r="AE13">
        <f>AB13-AC13</f>
        <v>-36</v>
      </c>
      <c r="AF13">
        <f>VLOOKUP(C13,'Giao CT'!$D$6:$S$20,10,0)</f>
        <v>8</v>
      </c>
      <c r="AG13">
        <f>VLOOKUP(C13,GBOC!$E$7:$DG$29,$B$27,0)</f>
        <v>8</v>
      </c>
      <c r="AH13">
        <f>IFERROR(AG13/AF13,0)</f>
        <v>1</v>
      </c>
      <c r="AI13">
        <f>AF13-AG13</f>
        <v>0</v>
      </c>
      <c r="AJ13">
        <f>VLOOKUP(C13,'Giao CT'!$D$6:$S$20,11,0)</f>
        <v>4</v>
      </c>
      <c r="AK13">
        <v>8</v>
      </c>
      <c r="AL13">
        <f>200%-IFERROR(AK13/AJ13,0)</f>
        <v>0</v>
      </c>
      <c r="AM13">
        <f>MAX(AL13,0)</f>
        <v>0</v>
      </c>
      <c r="AN13">
        <f>VLOOKUP(C13,'Giao CT'!$D$6:$S$20,12,0)</f>
        <v>5</v>
      </c>
      <c r="AO13">
        <f>VLOOKUP(C13,GBOC!$E$7:$DG$29,$B$29,0)</f>
        <v>3</v>
      </c>
      <c r="AP13">
        <f>200%-IFERROR(AO13/AN13,0)</f>
        <v>1.4</v>
      </c>
      <c r="AQ13">
        <f>MAX(AP13,0)</f>
        <v>1.4</v>
      </c>
      <c r="AR13">
        <v>0.97</v>
      </c>
      <c r="AS13">
        <f>(VLOOKUP(B13,cuoc!$B$7:$P$27,14,0))*1%</f>
        <v>0.7123</v>
      </c>
      <c r="AT13">
        <f>IF(AS13&lt;94.5%,0,IF(AS13&lt;95.54%,50%,IF(AS13&lt;AR13,80%,100%+(30%*(AS13-AR13)/3.39%))))</f>
        <v>0</v>
      </c>
      <c r="AU13">
        <f>AR13-AS13</f>
        <v>0.25769999999999993</v>
      </c>
      <c r="AV13">
        <f>VLOOKUP(C13,'Giao CT'!$D$6:$S$20,14,0)</f>
        <v>3</v>
      </c>
      <c r="AW13">
        <f>VLOOKUP(C13,GBOC!$E$7:$DG$29,$B$31,0)</f>
        <v>1</v>
      </c>
      <c r="AX13">
        <f>AW13/AV13</f>
        <v>0.3333333333333333</v>
      </c>
      <c r="AY13">
        <f>AV13-AW13</f>
        <v>2</v>
      </c>
      <c r="AZ13">
        <f>VLOOKUP(C13,'Giao CT'!$D$6:$S$20,15,0)</f>
        <v>1</v>
      </c>
      <c r="BA13">
        <f>VLOOKUP(C13,GBOC!$E$7:$DG$29,$B$32,0)</f>
        <v>0</v>
      </c>
      <c r="BB13">
        <f>IFERROR(BA13/AZ13,1)</f>
        <v>0</v>
      </c>
      <c r="BC13">
        <f>AZ13-BA13</f>
        <v>1</v>
      </c>
      <c r="BD13">
        <f>VLOOKUP(C13,'Giao CT'!$D$6:$S$20,16,0)</f>
        <v>0</v>
      </c>
      <c r="BE13">
        <f>VLOOKUP(C13,GBOC!$E$7:$DG$29,$B$33,0)</f>
        <v>2</v>
      </c>
      <c r="BF13">
        <f>IFERROR(BE13/BD13,1)</f>
        <v>1</v>
      </c>
      <c r="BG13">
        <f>BD13-BE13</f>
        <v>-2</v>
      </c>
    </row>
    <row r="14">
      <c r="A14" t="str">
        <v>Lê Thanh Sang</v>
      </c>
      <c r="B14" t="str">
        <v>SANGLT_LDG_CNKD</v>
      </c>
      <c r="C14" t="str">
        <v>CNKD_LDG_SANGLT</v>
      </c>
      <c r="D14">
        <f>VLOOKUP(C14,'Giao CT'!$D$6:$S$20,3,0)</f>
        <v>8</v>
      </c>
      <c r="E14">
        <f>VLOOKUP(C14,GBOC!$E$7:$DG$29,$B$20,0)</f>
        <v>8</v>
      </c>
      <c r="F14">
        <f>IFERROR(E14/D14,0)</f>
        <v>1</v>
      </c>
      <c r="G14">
        <f>D14-E14</f>
        <v>0</v>
      </c>
      <c r="H14">
        <f>VLOOKUP(C14,'Giao CT'!$D$6:$S$20,4,0)</f>
        <v>4</v>
      </c>
      <c r="I14">
        <f>VLOOKUP(C14,GBOC!$E$7:$DG$29,$B$21,0)</f>
        <v>2</v>
      </c>
      <c r="J14">
        <f>IFERROR(I14/H14,0)</f>
        <v>0.5</v>
      </c>
      <c r="K14">
        <f>H14-I14</f>
        <v>2</v>
      </c>
      <c r="L14">
        <f>VLOOKUP(C14,'Giao CT'!$D$6:$S$20,5,0)</f>
        <v>5</v>
      </c>
      <c r="M14">
        <f>VLOOKUP(C14,GBOC!$E$7:$DG$29,$B$22,0)</f>
        <v>1</v>
      </c>
      <c r="N14">
        <f>IFERROR(M14/L14,0)</f>
        <v>0.2</v>
      </c>
      <c r="O14">
        <f>L14-M14</f>
        <v>4</v>
      </c>
      <c r="P14">
        <f>VLOOKUP(C14,'Giao CT'!$D$6:$S$20,6,0)</f>
        <v>5</v>
      </c>
      <c r="Q14">
        <f>VLOOKUP(C14,GBOC!$E$7:$DG$29,$B$23,0)</f>
        <v>3</v>
      </c>
      <c r="R14">
        <f>IFERROR(Q14/P14,0)</f>
        <v>0.6</v>
      </c>
      <c r="S14">
        <f>P14-Q14</f>
        <v>2</v>
      </c>
      <c r="T14">
        <f>VLOOKUP(C14,'Giao CT'!$D$6:$S$20,7,0)</f>
        <v>3</v>
      </c>
      <c r="U14">
        <f>VLOOKUP(C14,GBOC!$E$7:$DG$29,$B$24,0)</f>
        <v>1</v>
      </c>
      <c r="V14">
        <f>IFERROR(U14/T14,0)</f>
        <v>0.3333333333333333</v>
      </c>
      <c r="W14">
        <f>T14-U14</f>
        <v>2</v>
      </c>
      <c r="X14">
        <f>VLOOKUP(C14,'Giao CT'!$D$6:$S$20,8,0)</f>
        <v>1</v>
      </c>
      <c r="Y14">
        <f>VLOOKUP(C14,GBOC!$E$7:$DG$29,$B$25,0)</f>
        <v>1</v>
      </c>
      <c r="Z14">
        <f>IFERROR(Y14/X14,0)</f>
        <v>1</v>
      </c>
      <c r="AA14">
        <f>X14-Y14</f>
        <v>0</v>
      </c>
      <c r="AB14">
        <f>VLOOKUP(C14,'Giao CT'!$D$6:$S$20,9,0)</f>
        <v>30</v>
      </c>
      <c r="AC14">
        <f>VLOOKUP(C14,GBOC!$E$7:$DG$29,$B$26,0)</f>
        <v>13</v>
      </c>
      <c r="AD14">
        <f>IFERROR(AC14/AB14,0)</f>
        <v>0.43333333333333335</v>
      </c>
      <c r="AE14">
        <f>AB14-AC14</f>
        <v>17</v>
      </c>
      <c r="AF14">
        <f>VLOOKUP(C14,'Giao CT'!$D$6:$S$20,10,0)</f>
        <v>9</v>
      </c>
      <c r="AG14">
        <f>VLOOKUP(C14,GBOC!$E$7:$DG$29,$B$27,0)</f>
        <v>0</v>
      </c>
      <c r="AH14">
        <f>IFERROR(AG14/AF14,0)</f>
        <v>0</v>
      </c>
      <c r="AI14">
        <f>AF14-AG14</f>
        <v>9</v>
      </c>
      <c r="AJ14">
        <f>VLOOKUP(C14,'Giao CT'!$D$6:$S$20,11,0)</f>
        <v>4</v>
      </c>
      <c r="AK14">
        <v>4</v>
      </c>
      <c r="AL14">
        <f>200%-IFERROR(AK14/AJ14,0)</f>
        <v>1</v>
      </c>
      <c r="AM14">
        <f>MAX(AL14,0)</f>
        <v>1</v>
      </c>
      <c r="AN14">
        <f>VLOOKUP(C14,'Giao CT'!$D$6:$S$20,12,0)</f>
        <v>5</v>
      </c>
      <c r="AO14">
        <f>VLOOKUP(C14,GBOC!$E$7:$DG$29,$B$29,0)</f>
        <v>1</v>
      </c>
      <c r="AP14">
        <f>200%-IFERROR(AO14/AN14,0)</f>
        <v>1.8</v>
      </c>
      <c r="AQ14">
        <f>MAX(AP14,0)</f>
        <v>1.8</v>
      </c>
      <c r="AR14">
        <v>0.97</v>
      </c>
      <c r="AS14">
        <f>(VLOOKUP(B14,cuoc!$B$7:$P$27,14,0))*1%</f>
        <v>0.479</v>
      </c>
      <c r="AT14">
        <f>IF(AS14&lt;94.5%,0,IF(AS14&lt;95.54%,50%,IF(AS14&lt;AR14,80%,100%+(30%*(AS14-AR14)/3.39%))))</f>
        <v>0</v>
      </c>
      <c r="AU14">
        <f>AR14-AS14</f>
        <v>0.491</v>
      </c>
      <c r="AV14">
        <f>VLOOKUP(C14,'Giao CT'!$D$6:$S$20,14,0)</f>
        <v>2</v>
      </c>
      <c r="AW14">
        <f>VLOOKUP(C14,GBOC!$E$7:$DG$29,$B$31,0)</f>
        <v>0</v>
      </c>
      <c r="AX14">
        <f>AW14/AV14</f>
        <v>0</v>
      </c>
      <c r="AY14">
        <f>AV14-AW14</f>
        <v>2</v>
      </c>
      <c r="AZ14">
        <f>VLOOKUP(C14,'Giao CT'!$D$6:$S$20,15,0)</f>
        <v>1</v>
      </c>
      <c r="BA14">
        <f>VLOOKUP(C14,GBOC!$E$7:$DG$29,$B$32,0)</f>
        <v>0</v>
      </c>
      <c r="BB14">
        <f>IFERROR(BA14/AZ14,1)</f>
        <v>0</v>
      </c>
      <c r="BC14">
        <f>AZ14-BA14</f>
        <v>1</v>
      </c>
      <c r="BD14">
        <f>VLOOKUP(C14,'Giao CT'!$D$6:$S$20,16,0)</f>
        <v>0</v>
      </c>
      <c r="BE14">
        <f>VLOOKUP(C14,GBOC!$E$7:$DG$29,$B$33,0)</f>
        <v>0</v>
      </c>
      <c r="BF14">
        <f>IFERROR(BE14/BD14,1)</f>
        <v>1</v>
      </c>
      <c r="BG14">
        <f>BD14-BE14</f>
        <v>0</v>
      </c>
    </row>
    <row r="15">
      <c r="A15" t="str">
        <v>Trương Văn Sang</v>
      </c>
      <c r="B15" t="str">
        <v>SANGTV_LDG_CNKD</v>
      </c>
      <c r="C15" t="str">
        <v>CNKD_LDG_SANGTV</v>
      </c>
      <c r="D15">
        <f>VLOOKUP(C15,'Giao CT'!$D$6:$S$20,3,0)</f>
        <v>7</v>
      </c>
      <c r="E15">
        <f>VLOOKUP(C15,GBOC!$E$7:$DG$29,$B$20,0)</f>
        <v>6</v>
      </c>
      <c r="F15">
        <f>IFERROR(E15/D15,0)</f>
        <v>0.8571428571428571</v>
      </c>
      <c r="G15">
        <f>D15-E15</f>
        <v>1</v>
      </c>
      <c r="H15">
        <f>VLOOKUP(C15,'Giao CT'!$D$6:$S$20,4,0)</f>
        <v>4</v>
      </c>
      <c r="I15">
        <f>VLOOKUP(C15,GBOC!$E$7:$DG$29,$B$21,0)</f>
        <v>5</v>
      </c>
      <c r="J15">
        <f>IFERROR(I15/H15,0)</f>
        <v>1.25</v>
      </c>
      <c r="K15">
        <f>H15-I15</f>
        <v>-1</v>
      </c>
      <c r="L15">
        <f>VLOOKUP(C15,'Giao CT'!$D$6:$S$20,5,0)</f>
        <v>5</v>
      </c>
      <c r="M15">
        <f>VLOOKUP(C15,GBOC!$E$7:$DG$29,$B$22,0)</f>
        <v>2</v>
      </c>
      <c r="N15">
        <f>IFERROR(M15/L15,0)</f>
        <v>0.4</v>
      </c>
      <c r="O15">
        <f>L15-M15</f>
        <v>3</v>
      </c>
      <c r="P15">
        <f>VLOOKUP(C15,'Giao CT'!$D$6:$S$20,6,0)</f>
        <v>4</v>
      </c>
      <c r="Q15">
        <f>VLOOKUP(C15,GBOC!$E$7:$DG$29,$B$23,0)</f>
        <v>2</v>
      </c>
      <c r="R15">
        <f>IFERROR(Q15/P15,0)</f>
        <v>0.5</v>
      </c>
      <c r="S15">
        <f>P15-Q15</f>
        <v>2</v>
      </c>
      <c r="T15">
        <f>VLOOKUP(C15,'Giao CT'!$D$6:$S$20,7,0)</f>
        <v>4</v>
      </c>
      <c r="U15">
        <f>VLOOKUP(C15,GBOC!$E$7:$DG$29,$B$24,0)</f>
        <v>4</v>
      </c>
      <c r="V15">
        <f>IFERROR(U15/T15,0)</f>
        <v>1</v>
      </c>
      <c r="W15">
        <f>T15-U15</f>
        <v>0</v>
      </c>
      <c r="X15">
        <f>VLOOKUP(C15,'Giao CT'!$D$6:$S$20,8,0)</f>
        <v>1</v>
      </c>
      <c r="Y15">
        <f>VLOOKUP(C15,GBOC!$E$7:$DG$29,$B$25,0)</f>
        <v>1</v>
      </c>
      <c r="Z15">
        <f>IFERROR(Y15/X15,0)</f>
        <v>1</v>
      </c>
      <c r="AA15">
        <f>X15-Y15</f>
        <v>0</v>
      </c>
      <c r="AB15">
        <f>VLOOKUP(C15,'Giao CT'!$D$6:$S$20,9,0)</f>
        <v>30</v>
      </c>
      <c r="AC15">
        <f>VLOOKUP(C15,GBOC!$E$7:$DG$29,$B$26,0)</f>
        <v>39</v>
      </c>
      <c r="AD15">
        <f>IFERROR(AC15/AB15,0)</f>
        <v>1.3</v>
      </c>
      <c r="AE15">
        <f>AB15-AC15</f>
        <v>-9</v>
      </c>
      <c r="AF15">
        <f>VLOOKUP(C15,'Giao CT'!$D$6:$S$20,10,0)</f>
        <v>8</v>
      </c>
      <c r="AG15">
        <f>VLOOKUP(C15,GBOC!$E$7:$DG$29,$B$27,0)</f>
        <v>4</v>
      </c>
      <c r="AH15">
        <f>IFERROR(AG15/AF15,0)</f>
        <v>0.5</v>
      </c>
      <c r="AI15">
        <f>AF15-AG15</f>
        <v>4</v>
      </c>
      <c r="AJ15">
        <f>VLOOKUP(C15,'Giao CT'!$D$6:$S$20,11,0)</f>
        <v>4</v>
      </c>
      <c r="AK15">
        <v>4</v>
      </c>
      <c r="AL15">
        <f>200%-IFERROR(AK15/AJ15,0)</f>
        <v>1</v>
      </c>
      <c r="AM15">
        <f>MAX(AL15,0)</f>
        <v>1</v>
      </c>
      <c r="AN15">
        <f>VLOOKUP(C15,'Giao CT'!$D$6:$S$20,12,0)</f>
        <v>4</v>
      </c>
      <c r="AO15">
        <f>VLOOKUP(C15,GBOC!$E$7:$DG$29,$B$29,0)</f>
        <v>0</v>
      </c>
      <c r="AP15">
        <f>200%-IFERROR(AO15/AN15,0)</f>
        <v>2</v>
      </c>
      <c r="AQ15">
        <f>MAX(AP15,0)</f>
        <v>2</v>
      </c>
      <c r="AR15">
        <v>0.97</v>
      </c>
      <c r="AS15">
        <f>(VLOOKUP(B15,cuoc!$B$7:$P$27,14,0))*1%</f>
        <v>0.5972999999999999</v>
      </c>
      <c r="AT15">
        <f>IF(AS15&lt;94.5%,0,IF(AS15&lt;95.54%,50%,IF(AS15&lt;AR15,80%,100%+(30%*(AS15-AR15)/3.39%))))</f>
        <v>0</v>
      </c>
      <c r="AU15">
        <f>AR15-AS15</f>
        <v>0.37270000000000003</v>
      </c>
      <c r="AV15">
        <f>VLOOKUP(C15,'Giao CT'!$D$6:$S$20,14,0)</f>
        <v>2</v>
      </c>
      <c r="AW15">
        <f>VLOOKUP(C15,GBOC!$E$7:$DG$29,$B$31,0)</f>
        <v>0</v>
      </c>
      <c r="AX15">
        <f>AW15/AV15</f>
        <v>0</v>
      </c>
      <c r="AY15">
        <f>AV15-AW15</f>
        <v>2</v>
      </c>
      <c r="AZ15">
        <f>VLOOKUP(C15,'Giao CT'!$D$6:$S$20,15,0)</f>
        <v>1</v>
      </c>
      <c r="BA15">
        <f>VLOOKUP(C15,GBOC!$E$7:$DG$29,$B$32,0)</f>
        <v>0</v>
      </c>
      <c r="BB15">
        <f>IFERROR(BA15/AZ15,1)</f>
        <v>0</v>
      </c>
      <c r="BC15">
        <f>AZ15-BA15</f>
        <v>1</v>
      </c>
      <c r="BD15">
        <f>VLOOKUP(C15,'Giao CT'!$D$6:$S$20,16,0)</f>
        <v>0</v>
      </c>
      <c r="BE15">
        <f>VLOOKUP(C15,GBOC!$E$7:$DG$29,$B$33,0)</f>
        <v>0</v>
      </c>
      <c r="BF15">
        <f>IFERROR(BE15/BD15,1)</f>
        <v>1</v>
      </c>
      <c r="BG15">
        <f>BD15-BE15</f>
        <v>0</v>
      </c>
    </row>
    <row r="16">
      <c r="A16" t="str">
        <v>Đặng Thị Tám</v>
      </c>
      <c r="B16" t="str">
        <v>TAMDT_LDG_CNKD</v>
      </c>
      <c r="C16" t="str">
        <v>CNKD_LDG_TAMDT</v>
      </c>
      <c r="D16">
        <f>VLOOKUP(C16,'Giao CT'!$D$6:$S$20,3,0)</f>
        <v>8</v>
      </c>
      <c r="E16">
        <f>VLOOKUP(C16,GBOC!$E$7:$DG$29,$B$20,0)</f>
        <v>8</v>
      </c>
      <c r="F16">
        <f>IFERROR(E16/D16,0)</f>
        <v>1</v>
      </c>
      <c r="G16">
        <f>D16-E16</f>
        <v>0</v>
      </c>
      <c r="H16">
        <f>VLOOKUP(C16,'Giao CT'!$D$6:$S$20,4,0)</f>
        <v>4</v>
      </c>
      <c r="I16">
        <f>VLOOKUP(C16,GBOC!$E$7:$DG$29,$B$21,0)</f>
        <v>6</v>
      </c>
      <c r="J16">
        <f>IFERROR(I16/H16,0)</f>
        <v>1.5</v>
      </c>
      <c r="K16">
        <f>H16-I16</f>
        <v>-2</v>
      </c>
      <c r="L16">
        <f>VLOOKUP(C16,'Giao CT'!$D$6:$S$20,5,0)</f>
        <v>5</v>
      </c>
      <c r="M16">
        <f>VLOOKUP(C16,GBOC!$E$7:$DG$29,$B$22,0)</f>
        <v>3</v>
      </c>
      <c r="N16">
        <f>IFERROR(M16/L16,0)</f>
        <v>0.6</v>
      </c>
      <c r="O16">
        <f>L16-M16</f>
        <v>2</v>
      </c>
      <c r="P16">
        <f>VLOOKUP(C16,'Giao CT'!$D$6:$S$20,6,0)</f>
        <v>5</v>
      </c>
      <c r="Q16">
        <f>VLOOKUP(C16,GBOC!$E$7:$DG$29,$B$23,0)</f>
        <v>3</v>
      </c>
      <c r="R16">
        <f>IFERROR(Q16/P16,0)</f>
        <v>0.6</v>
      </c>
      <c r="S16">
        <f>P16-Q16</f>
        <v>2</v>
      </c>
      <c r="T16">
        <f>VLOOKUP(C16,'Giao CT'!$D$6:$S$20,7,0)</f>
        <v>4</v>
      </c>
      <c r="U16">
        <f>VLOOKUP(C16,GBOC!$E$7:$DG$29,$B$24,0)</f>
        <v>4</v>
      </c>
      <c r="V16">
        <f>IFERROR(U16/T16,0)</f>
        <v>1</v>
      </c>
      <c r="W16">
        <f>T16-U16</f>
        <v>0</v>
      </c>
      <c r="X16">
        <f>VLOOKUP(C16,'Giao CT'!$D$6:$S$20,8,0)</f>
        <v>1</v>
      </c>
      <c r="Y16">
        <f>VLOOKUP(C16,GBOC!$E$7:$DG$29,$B$25,0)</f>
        <v>2</v>
      </c>
      <c r="Z16">
        <f>IFERROR(Y16/X16,0)</f>
        <v>2</v>
      </c>
      <c r="AA16">
        <f>X16-Y16</f>
        <v>-1</v>
      </c>
      <c r="AB16">
        <f>VLOOKUP(C16,'Giao CT'!$D$6:$S$20,9,0)</f>
        <v>30</v>
      </c>
      <c r="AC16">
        <f>VLOOKUP(C16,GBOC!$E$7:$DG$29,$B$26,0)</f>
        <v>58</v>
      </c>
      <c r="AD16">
        <f>IFERROR(AC16/AB16,0)</f>
        <v>1.9333333333333333</v>
      </c>
      <c r="AE16">
        <f>AB16-AC16</f>
        <v>-28</v>
      </c>
      <c r="AF16">
        <f>VLOOKUP(C16,'Giao CT'!$D$6:$S$20,10,0)</f>
        <v>9</v>
      </c>
      <c r="AG16">
        <f>VLOOKUP(C16,GBOC!$E$7:$DG$29,$B$27,0)</f>
        <v>11</v>
      </c>
      <c r="AH16">
        <f>IFERROR(AG16/AF16,0)</f>
        <v>1.2222222222222223</v>
      </c>
      <c r="AI16">
        <f>AF16-AG16</f>
        <v>-2</v>
      </c>
      <c r="AJ16">
        <f>VLOOKUP(C16,'Giao CT'!$D$6:$S$20,11,0)</f>
        <v>4</v>
      </c>
      <c r="AK16">
        <v>10</v>
      </c>
      <c r="AL16">
        <f>200%-IFERROR(AK16/AJ16,0)</f>
        <v>-0.5</v>
      </c>
      <c r="AM16">
        <f>MAX(AL16,0)</f>
        <v>0</v>
      </c>
      <c r="AN16">
        <f>VLOOKUP(C16,'Giao CT'!$D$6:$S$20,12,0)</f>
        <v>5</v>
      </c>
      <c r="AO16">
        <f>VLOOKUP(C16,GBOC!$E$7:$DG$29,$B$29,0)</f>
        <v>0</v>
      </c>
      <c r="AP16">
        <f>200%-IFERROR(AO16/AN16,0)</f>
        <v>2</v>
      </c>
      <c r="AQ16">
        <f>MAX(AP16,0)</f>
        <v>2</v>
      </c>
      <c r="AR16">
        <v>0.97</v>
      </c>
      <c r="AS16">
        <f>(VLOOKUP(B16,cuoc!$B$7:$P$27,14,0))*1%</f>
        <v>0.6819</v>
      </c>
      <c r="AT16">
        <f>IF(AS16&lt;94.5%,0,IF(AS16&lt;95.54%,50%,IF(AS16&lt;AR16,80%,100%+(30%*(AS16-AR16)/3.39%))))</f>
        <v>0</v>
      </c>
      <c r="AU16">
        <f>AR16-AS16</f>
        <v>0.2881</v>
      </c>
      <c r="AV16">
        <f>VLOOKUP(C16,'Giao CT'!$D$6:$S$20,14,0)</f>
        <v>3</v>
      </c>
      <c r="AW16">
        <f>VLOOKUP(C16,GBOC!$E$7:$DG$29,$B$31,0)</f>
        <v>0</v>
      </c>
      <c r="AX16">
        <f>AW16/AV16</f>
        <v>0</v>
      </c>
      <c r="AY16">
        <f>AV16-AW16</f>
        <v>3</v>
      </c>
      <c r="AZ16">
        <f>VLOOKUP(C16,'Giao CT'!$D$6:$S$20,15,0)</f>
        <v>1</v>
      </c>
      <c r="BA16">
        <f>VLOOKUP(C16,GBOC!$E$7:$DG$29,$B$32,0)</f>
        <v>2</v>
      </c>
      <c r="BB16">
        <f>IFERROR(BA16/AZ16,1)</f>
        <v>2</v>
      </c>
      <c r="BC16">
        <f>AZ16-BA16</f>
        <v>-1</v>
      </c>
      <c r="BD16">
        <f>VLOOKUP(C16,'Giao CT'!$D$6:$S$20,16,0)</f>
        <v>0</v>
      </c>
      <c r="BE16">
        <f>VLOOKUP(C16,GBOC!$E$7:$DG$29,$B$33,0)</f>
        <v>2</v>
      </c>
      <c r="BF16">
        <f>IFERROR(BE16/BD16,1)</f>
        <v>1</v>
      </c>
      <c r="BG16">
        <f>BD16-BE16</f>
        <v>-2</v>
      </c>
    </row>
    <row r="17">
      <c r="A17" t="str">
        <v>Nguyễn Thị Huyền Thương</v>
      </c>
      <c r="B17" t="str">
        <v>THUONGNTH_LDG_CNKD</v>
      </c>
      <c r="C17" t="str">
        <v>CNKD_LDG_THUONGNTH</v>
      </c>
      <c r="D17">
        <f>VLOOKUP(C17,'Giao CT'!$D$6:$S$20,3,0)</f>
        <v>7</v>
      </c>
      <c r="E17">
        <f>VLOOKUP(C17,GBOC!$E$7:$DG$29,$B$20,0)</f>
        <v>11</v>
      </c>
      <c r="F17">
        <f>IFERROR(E17/D17,0)</f>
        <v>1.5714285714285714</v>
      </c>
      <c r="G17">
        <f>D17-E17</f>
        <v>-4</v>
      </c>
      <c r="H17">
        <f>VLOOKUP(C17,'Giao CT'!$D$6:$S$20,4,0)</f>
        <v>4</v>
      </c>
      <c r="I17">
        <f>VLOOKUP(C17,GBOC!$E$7:$DG$29,$B$21,0)</f>
        <v>5</v>
      </c>
      <c r="J17">
        <f>IFERROR(I17/H17,0)</f>
        <v>1.25</v>
      </c>
      <c r="K17">
        <f>H17-I17</f>
        <v>-1</v>
      </c>
      <c r="L17">
        <f>VLOOKUP(C17,'Giao CT'!$D$6:$S$20,5,0)</f>
        <v>5</v>
      </c>
      <c r="M17">
        <f>VLOOKUP(C17,GBOC!$E$7:$DG$29,$B$22,0)</f>
        <v>4</v>
      </c>
      <c r="N17">
        <f>IFERROR(M17/L17,0)</f>
        <v>0.8</v>
      </c>
      <c r="O17">
        <f>L17-M17</f>
        <v>1</v>
      </c>
      <c r="P17">
        <f>VLOOKUP(C17,'Giao CT'!$D$6:$S$20,6,0)</f>
        <v>4</v>
      </c>
      <c r="Q17">
        <f>VLOOKUP(C17,GBOC!$E$7:$DG$29,$B$23,0)</f>
        <v>5</v>
      </c>
      <c r="R17">
        <f>IFERROR(Q17/P17,0)</f>
        <v>1.25</v>
      </c>
      <c r="S17">
        <f>P17-Q17</f>
        <v>-1</v>
      </c>
      <c r="T17">
        <f>VLOOKUP(C17,'Giao CT'!$D$6:$S$20,7,0)</f>
        <v>4</v>
      </c>
      <c r="U17">
        <f>VLOOKUP(C17,GBOC!$E$7:$DG$29,$B$24,0)</f>
        <v>7</v>
      </c>
      <c r="V17">
        <f>IFERROR(U17/T17,0)</f>
        <v>1.75</v>
      </c>
      <c r="W17">
        <f>T17-U17</f>
        <v>-3</v>
      </c>
      <c r="X17">
        <f>VLOOKUP(C17,'Giao CT'!$D$6:$S$20,8,0)</f>
        <v>1</v>
      </c>
      <c r="Y17">
        <f>VLOOKUP(C17,GBOC!$E$7:$DG$29,$B$25,0)</f>
        <v>21</v>
      </c>
      <c r="Z17">
        <f>IFERROR(Y17/X17,0)</f>
        <v>21</v>
      </c>
      <c r="AA17">
        <f>X17-Y17</f>
        <v>-20</v>
      </c>
      <c r="AB17">
        <f>VLOOKUP(C17,'Giao CT'!$D$6:$S$20,9,0)</f>
        <v>60</v>
      </c>
      <c r="AC17">
        <f>VLOOKUP(C17,GBOC!$E$7:$DG$29,$B$26,0)</f>
        <v>170</v>
      </c>
      <c r="AD17">
        <f>IFERROR(AC17/AB17,0)</f>
        <v>2.8333333333333335</v>
      </c>
      <c r="AE17">
        <f>AB17-AC17</f>
        <v>-110</v>
      </c>
      <c r="AF17">
        <f>VLOOKUP(C17,'Giao CT'!$D$6:$S$20,10,0)</f>
        <v>8</v>
      </c>
      <c r="AG17">
        <f>VLOOKUP(C17,GBOC!$E$7:$DG$29,$B$27,0)</f>
        <v>21</v>
      </c>
      <c r="AH17">
        <f>IFERROR(AG17/AF17,0)</f>
        <v>2.625</v>
      </c>
      <c r="AI17">
        <f>AF17-AG17</f>
        <v>-13</v>
      </c>
      <c r="AJ17">
        <f>VLOOKUP(C17,'Giao CT'!$D$6:$S$20,11,0)</f>
        <v>4</v>
      </c>
      <c r="AK17">
        <v>3</v>
      </c>
      <c r="AL17">
        <f>200%-IFERROR(AK17/AJ17,0)</f>
        <v>1.25</v>
      </c>
      <c r="AM17">
        <f>MAX(AL17,0)</f>
        <v>1.25</v>
      </c>
      <c r="AN17">
        <f>VLOOKUP(C17,'Giao CT'!$D$6:$S$20,12,0)</f>
        <v>5</v>
      </c>
      <c r="AO17">
        <f>VLOOKUP(C17,GBOC!$E$7:$DG$29,$B$29,0)</f>
        <v>0</v>
      </c>
      <c r="AP17">
        <f>200%-IFERROR(AO17/AN17,0)</f>
        <v>2</v>
      </c>
      <c r="AQ17">
        <f>MAX(AP17,0)</f>
        <v>2</v>
      </c>
      <c r="AR17">
        <v>0.97</v>
      </c>
      <c r="AS17">
        <f>(VLOOKUP(B17,cuoc!$B$7:$P$27,14,0))*1%</f>
        <v>0.7214</v>
      </c>
      <c r="AT17">
        <f>IF(AS17&lt;94.5%,0,IF(AS17&lt;95.54%,50%,IF(AS17&lt;AR17,80%,100%+(30%*(AS17-AR17)/3.39%))))</f>
        <v>0</v>
      </c>
      <c r="AU17">
        <f>AR17-AS17</f>
        <v>0.24859999999999993</v>
      </c>
      <c r="AV17">
        <f>VLOOKUP(C17,'Giao CT'!$D$6:$S$20,14,0)</f>
        <v>3</v>
      </c>
      <c r="AW17">
        <f>VLOOKUP(C17,GBOC!$E$7:$DG$29,$B$31,0)</f>
        <v>0</v>
      </c>
      <c r="AX17">
        <f>AW17/AV17</f>
        <v>0</v>
      </c>
      <c r="AY17">
        <f>AV17-AW17</f>
        <v>3</v>
      </c>
      <c r="AZ17">
        <f>VLOOKUP(C17,'Giao CT'!$D$6:$S$20,15,0)</f>
        <v>1</v>
      </c>
      <c r="BA17">
        <f>VLOOKUP(C17,GBOC!$E$7:$DG$29,$B$32,0)</f>
        <v>1</v>
      </c>
      <c r="BB17">
        <f>IFERROR(BA17/AZ17,1)</f>
        <v>1</v>
      </c>
      <c r="BC17">
        <f>AZ17-BA17</f>
        <v>0</v>
      </c>
      <c r="BD17">
        <f>VLOOKUP(C17,'Giao CT'!$D$6:$S$20,16,0)</f>
        <v>0</v>
      </c>
      <c r="BE17">
        <f>VLOOKUP(C17,GBOC!$E$7:$DG$29,$B$33,0)</f>
        <v>2</v>
      </c>
      <c r="BF17">
        <f>IFERROR(BE17/BD17,1)</f>
        <v>1</v>
      </c>
      <c r="BG17">
        <f>BD17-BE17</f>
        <v>-2</v>
      </c>
    </row>
    <row r="18">
      <c r="A18" t="str">
        <v>Vòng Vĩnh Vân</v>
      </c>
      <c r="B18" t="str">
        <v>VANVV_LDG_CNKD</v>
      </c>
      <c r="C18" t="str">
        <v>CNKD_LDG_VANVV</v>
      </c>
      <c r="D18">
        <f>VLOOKUP(C18,'Giao CT'!$D$6:$S$20,3,0)</f>
        <v>3</v>
      </c>
      <c r="E18">
        <f>VLOOKUP(C18,GBOC!$E$7:$DG$29,$B$20,0)</f>
        <v>4</v>
      </c>
      <c r="F18">
        <f>IFERROR(E18/D18,0)</f>
        <v>1.3333333333333333</v>
      </c>
      <c r="G18">
        <f>D18-E18</f>
        <v>-1</v>
      </c>
      <c r="H18">
        <f>VLOOKUP(C18,'Giao CT'!$D$6:$S$20,4,0)</f>
        <v>2</v>
      </c>
      <c r="I18">
        <f>VLOOKUP(C18,GBOC!$E$7:$DG$29,$B$21,0)</f>
        <v>0</v>
      </c>
      <c r="J18">
        <f>IFERROR(I18/H18,0)</f>
        <v>0</v>
      </c>
      <c r="K18">
        <f>H18-I18</f>
        <v>2</v>
      </c>
      <c r="L18">
        <f>VLOOKUP(C18,'Giao CT'!$D$6:$S$20,5,0)</f>
        <v>2</v>
      </c>
      <c r="M18">
        <f>VLOOKUP(C18,GBOC!$E$7:$DG$29,$B$22,0)</f>
        <v>2</v>
      </c>
      <c r="N18">
        <f>IFERROR(M18/L18,0)</f>
        <v>1</v>
      </c>
      <c r="O18">
        <f>L18-M18</f>
        <v>0</v>
      </c>
      <c r="P18">
        <f>VLOOKUP(C18,'Giao CT'!$D$6:$S$20,6,0)</f>
        <v>3</v>
      </c>
      <c r="Q18">
        <f>VLOOKUP(C18,GBOC!$E$7:$DG$29,$B$23,0)</f>
        <v>0</v>
      </c>
      <c r="R18">
        <f>IFERROR(Q18/P18,0)</f>
        <v>0</v>
      </c>
      <c r="S18">
        <f>P18-Q18</f>
        <v>3</v>
      </c>
      <c r="T18">
        <f>VLOOKUP(C18,'Giao CT'!$D$6:$S$20,7,0)</f>
        <v>3</v>
      </c>
      <c r="U18">
        <f>VLOOKUP(C18,GBOC!$E$7:$DG$29,$B$24,0)</f>
        <v>2</v>
      </c>
      <c r="V18">
        <f>IFERROR(U18/T18,0)</f>
        <v>0.6666666666666666</v>
      </c>
      <c r="W18">
        <f>T18-U18</f>
        <v>1</v>
      </c>
      <c r="X18">
        <f>VLOOKUP(C18,'Giao CT'!$D$6:$S$20,8,0)</f>
        <v>1</v>
      </c>
      <c r="Y18">
        <f>VLOOKUP(C18,GBOC!$E$7:$DG$29,$B$25,0)</f>
        <v>0</v>
      </c>
      <c r="Z18">
        <f>IFERROR(Y18/X18,0)</f>
        <v>0</v>
      </c>
      <c r="AA18">
        <f>X18-Y18</f>
        <v>1</v>
      </c>
      <c r="AB18">
        <f>VLOOKUP(C18,'Giao CT'!$D$6:$S$20,9,0)</f>
        <v>14</v>
      </c>
      <c r="AC18">
        <f>VLOOKUP(C18,GBOC!$E$7:$DG$29,$B$26,0)</f>
        <v>3</v>
      </c>
      <c r="AD18">
        <f>IFERROR(AC18/AB18,0)</f>
        <v>0.21428571428571427</v>
      </c>
      <c r="AE18">
        <f>AB18-AC18</f>
        <v>11</v>
      </c>
      <c r="AF18">
        <f>VLOOKUP(C18,'Giao CT'!$D$6:$S$20,10,0)</f>
        <v>5</v>
      </c>
      <c r="AG18">
        <f>VLOOKUP(C18,GBOC!$E$7:$DG$29,$B$27,0)</f>
        <v>0</v>
      </c>
      <c r="AH18">
        <f>IFERROR(AG18/AF18,0)</f>
        <v>0</v>
      </c>
      <c r="AI18">
        <f>AF18-AG18</f>
        <v>5</v>
      </c>
      <c r="AJ18">
        <f>VLOOKUP(C18,'Giao CT'!$D$6:$S$20,11,0)</f>
        <v>3</v>
      </c>
      <c r="AK18">
        <v>4</v>
      </c>
      <c r="AL18">
        <f>200%-IFERROR(AK18/AJ18,0)</f>
        <v>0.6666666666666667</v>
      </c>
      <c r="AM18">
        <f>MAX(AL18,0)</f>
        <v>0.6666666666666667</v>
      </c>
      <c r="AN18">
        <f>VLOOKUP(C18,'Giao CT'!$D$6:$S$20,12,0)</f>
        <v>3</v>
      </c>
      <c r="AO18">
        <f>VLOOKUP(C18,GBOC!$E$7:$DG$29,$B$29,0)</f>
        <v>0</v>
      </c>
      <c r="AP18">
        <f>200%-IFERROR(AO18/AN18,0)</f>
        <v>2</v>
      </c>
      <c r="AQ18">
        <f>MAX(AP18,0)</f>
        <v>2</v>
      </c>
      <c r="AR18">
        <v>0.97</v>
      </c>
      <c r="AS18">
        <f>(VLOOKUP(B18,cuoc!$B$7:$P$27,14,0))*1%</f>
        <v>0.6846</v>
      </c>
      <c r="AT18">
        <f>IF(AS18&lt;94.5%,0,IF(AS18&lt;95.54%,50%,IF(AS18&lt;AR18,80%,100%+(30%*(AS18-AR18)/3.39%))))</f>
        <v>0</v>
      </c>
      <c r="AU18">
        <f>AR18-AS18</f>
        <v>0.2854</v>
      </c>
      <c r="AV18">
        <f>VLOOKUP(C18,'Giao CT'!$D$6:$S$20,14,0)</f>
        <v>1</v>
      </c>
      <c r="AW18">
        <f>VLOOKUP(C18,GBOC!$E$7:$DG$29,$B$31,0)</f>
        <v>0</v>
      </c>
      <c r="AX18">
        <f>AW18/AV18</f>
        <v>0</v>
      </c>
      <c r="AY18">
        <f>AV18-AW18</f>
        <v>1</v>
      </c>
      <c r="AZ18">
        <f>VLOOKUP(C18,'Giao CT'!$D$6:$S$20,15,0)</f>
        <v>1</v>
      </c>
      <c r="BA18">
        <f>VLOOKUP(C18,GBOC!$E$7:$DG$29,$B$32,0)</f>
        <v>0</v>
      </c>
      <c r="BB18">
        <f>IFERROR(BA18/AZ18,1)</f>
        <v>0</v>
      </c>
      <c r="BC18">
        <f>AZ18-BA18</f>
        <v>1</v>
      </c>
      <c r="BD18">
        <f>VLOOKUP(C18,'Giao CT'!$D$6:$S$20,16,0)</f>
        <v>0</v>
      </c>
      <c r="BE18">
        <f>VLOOKUP(C18,GBOC!$E$7:$DG$29,$B$33,0)</f>
        <v>0</v>
      </c>
      <c r="BF18">
        <f>IFERROR(BE18/BD18,1)</f>
        <v>1</v>
      </c>
      <c r="BG18">
        <f>BD18-BE18</f>
        <v>0</v>
      </c>
    </row>
    <row r="19">
      <c r="F19">
        <f>TODAY()</f>
        <v>46074</v>
      </c>
      <c r="I19">
        <f>DAY(F19)</f>
        <v>21</v>
      </c>
      <c r="J19">
        <v>31</v>
      </c>
      <c r="K19">
        <f>I19/J19</f>
        <v>0.6774193548387096</v>
      </c>
      <c r="L19" t="str">
        <v>KPI theo tiến độ ngày</v>
      </c>
      <c r="BG19" t="e">
        <f>#REF!*80%-#REF!</f>
        <v>#REF!</v>
      </c>
    </row>
    <row r="20">
      <c r="A20" t="str">
        <v>TB FTTH phát triển mới</v>
      </c>
      <c r="B20" t="str">
        <v>7</v>
      </c>
      <c r="C20">
        <f>B20-2</f>
        <v>5</v>
      </c>
    </row>
    <row r="21">
      <c r="A21" t="str">
        <v>Supernet PTM</v>
      </c>
      <c r="B21">
        <v>15</v>
      </c>
      <c r="C21">
        <f>B21-2</f>
        <v>13</v>
      </c>
    </row>
    <row r="22">
      <c r="A22" t="str">
        <v>Camera Đấu nối và bán đứt mua icloud</v>
      </c>
      <c r="B22">
        <v>55</v>
      </c>
      <c r="C22">
        <f>B22-2</f>
        <v>53</v>
      </c>
    </row>
    <row r="23">
      <c r="A23" t="str">
        <v>THS Đôi dây PTM</v>
      </c>
      <c r="B23">
        <v>87</v>
      </c>
      <c r="C23">
        <f>B23-2</f>
        <v>85</v>
      </c>
    </row>
    <row r="24">
      <c r="A24" t="str">
        <v>Thuê Bao trả sau</v>
      </c>
      <c r="B24">
        <v>95</v>
      </c>
      <c r="C24">
        <f>B24-2</f>
        <v>93</v>
      </c>
    </row>
    <row r="25">
      <c r="A25" t="str">
        <v>Thuê bao thực 4G</v>
      </c>
      <c r="B25">
        <v>103</v>
      </c>
      <c r="C25">
        <f>B25-2</f>
        <v>101</v>
      </c>
    </row>
    <row r="26">
      <c r="A26" t="str">
        <v>Thuê bao  5G</v>
      </c>
      <c r="B26">
        <v>47</v>
      </c>
      <c r="C26">
        <f>B26-2</f>
        <v>45</v>
      </c>
    </row>
    <row r="27">
      <c r="A27" t="str">
        <v>Thuê bao standard</v>
      </c>
      <c r="B27">
        <v>79</v>
      </c>
      <c r="C27">
        <f>B27-2</f>
        <v>77</v>
      </c>
    </row>
    <row r="28">
      <c r="A28" t="str">
        <v>Rời mạng THS</v>
      </c>
      <c r="B28">
        <v>39</v>
      </c>
      <c r="C28">
        <f>B28-2</f>
        <v>37</v>
      </c>
    </row>
    <row r="29">
      <c r="A29" t="str">
        <v>Rời mạng FTTH</v>
      </c>
      <c r="B29">
        <v>31</v>
      </c>
      <c r="C29">
        <f>B29-2</f>
        <v>29</v>
      </c>
    </row>
    <row r="30">
      <c r="A30" t="str">
        <v>Cước N1- N3</v>
      </c>
    </row>
    <row r="31">
      <c r="A31" t="str">
        <v>Khôi phục THS</v>
      </c>
      <c r="B31">
        <v>23</v>
      </c>
      <c r="C31">
        <f>B31-2</f>
        <v>21</v>
      </c>
    </row>
    <row r="32">
      <c r="A32" t="str">
        <v>Thuê Bao mybox</v>
      </c>
      <c r="B32">
        <v>71</v>
      </c>
      <c r="C32">
        <f>B32-2</f>
        <v>69</v>
      </c>
    </row>
    <row r="33">
      <c r="A33" t="str">
        <v>MYKID</v>
      </c>
      <c r="B33">
        <v>63</v>
      </c>
      <c r="C33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ageMargins left="0.6999125161508876" right="0.6999125161508876" top="0.7499062639521802" bottom="0.7499062639521802" header="0.2999625102741512" footer="0.2999625102741512"/>
  <ignoredErrors>
    <ignoredError numberStoredAsText="1" sqref="A1:YY3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W27"/>
  <sheetViews>
    <sheetView workbookViewId="0" rightToLeft="0"/>
  </sheetViews>
  <sheetData>
    <row r="4">
      <c r="A4" t="str">
        <v>Nhân viên quản lý.</v>
      </c>
      <c r="B4" t="str">
        <v>Nhân viên</v>
      </c>
    </row>
    <row r="5" xml:space="preserve">
      <c r="C5" t="str">
        <v>MÃ SHOP</v>
      </c>
      <c r="D5" t="str">
        <v>Đầu kỳ chốt cước</v>
      </c>
      <c r="F5" t="str">
        <v>Giảm trừ đầu kỳ phải thu</v>
      </c>
      <c r="H5" t="str">
        <v>Đầu kỳ phải thu</v>
      </c>
      <c r="J5" t="str">
        <v>Thu trong ngày</v>
      </c>
      <c r="L5" t="str">
        <v>Lũy kế thu</v>
      </c>
      <c r="N5" t="str">
        <v>% Hoàn thành</v>
      </c>
      <c r="P5" t="str">
        <v>Thiếu để đạt</v>
      </c>
      <c r="R5" t="str">
        <v>Nhân Viên</v>
      </c>
      <c r="S5" t="str">
        <v>Đầu kỳ</v>
      </c>
      <c r="T5" t="str">
        <v>Cước ngày n-1</v>
      </c>
      <c r="V5" t="str" xml:space="preserve">
        <v xml:space="preserve">Cước thu được _x000d_
trong ngày</v>
      </c>
    </row>
    <row r="6">
      <c r="D6" t="str">
        <v>KH</v>
      </c>
      <c r="E6" t="str">
        <v>Tiền</v>
      </c>
      <c r="F6" t="str">
        <v>KH</v>
      </c>
      <c r="G6" t="str">
        <v>Tiền</v>
      </c>
      <c r="H6" t="str">
        <v>KH</v>
      </c>
      <c r="I6" t="str">
        <v>Tiền</v>
      </c>
      <c r="J6" t="str">
        <v>KH</v>
      </c>
      <c r="K6" t="str">
        <v>Tiền</v>
      </c>
      <c r="L6" t="str">
        <v>KH</v>
      </c>
      <c r="M6" t="str">
        <v>Tiền</v>
      </c>
      <c r="N6" t="str">
        <v>KH</v>
      </c>
      <c r="O6" t="str">
        <v>Tiền</v>
      </c>
    </row>
    <row r="7">
      <c r="A7" t="str">
        <v>TAIDT2_CTX_DVTM_LDG</v>
      </c>
      <c r="B7" t="str">
        <v>BINHLT_LDG_CNKD</v>
      </c>
      <c r="C7" t="str">
        <v>CNKD_LDG_BINHLT</v>
      </c>
      <c r="D7">
        <v>434</v>
      </c>
      <c r="E7">
        <v>72573808</v>
      </c>
      <c r="F7">
        <v>0</v>
      </c>
      <c r="G7">
        <v>0</v>
      </c>
      <c r="H7">
        <v>434</v>
      </c>
      <c r="I7">
        <v>72573808</v>
      </c>
      <c r="J7">
        <v>0</v>
      </c>
      <c r="K7">
        <v>0</v>
      </c>
      <c r="L7">
        <v>355</v>
      </c>
      <c r="M7">
        <v>57758440</v>
      </c>
      <c r="N7">
        <v>81.8</v>
      </c>
      <c r="O7">
        <v>79.59</v>
      </c>
      <c r="P7">
        <f>I7*0.97-M7</f>
        <v>12638153.760000005</v>
      </c>
      <c r="R7" t="str">
        <v>CNKD_LDG_TAMDT</v>
      </c>
      <c r="S7">
        <f>VLOOKUP(R7,$C$7:$P$27,7,0)</f>
        <v>101866340</v>
      </c>
      <c r="T7">
        <v>29706906.799999997</v>
      </c>
      <c r="U7">
        <f>VLOOKUP(R7,$C$7:$P$27,14,0)</f>
        <v>29352490.799999997</v>
      </c>
      <c r="V7">
        <f>VLOOKUP(R7,$C$7:$P$27,14,0)-T7</f>
        <v>-354416</v>
      </c>
    </row>
    <row r="8">
      <c r="A8" t="str">
        <v>TAIDT2_CTX_DVTM_LDG</v>
      </c>
      <c r="B8" t="str">
        <v>NHUNGPT_LDG_CNKD</v>
      </c>
      <c r="C8" t="str">
        <v>CNKD_LDG_NHUNGPT</v>
      </c>
      <c r="D8">
        <v>454</v>
      </c>
      <c r="E8">
        <v>70243418</v>
      </c>
      <c r="F8">
        <v>0</v>
      </c>
      <c r="G8">
        <v>0</v>
      </c>
      <c r="H8">
        <v>454</v>
      </c>
      <c r="I8">
        <v>70243418</v>
      </c>
      <c r="J8">
        <v>0</v>
      </c>
      <c r="K8">
        <v>0</v>
      </c>
      <c r="L8">
        <v>333</v>
      </c>
      <c r="M8">
        <v>53205481</v>
      </c>
      <c r="N8">
        <v>73.35</v>
      </c>
      <c r="O8">
        <v>75.74</v>
      </c>
      <c r="P8">
        <f>I8*0.97-M8</f>
        <v>14930634.459999993</v>
      </c>
      <c r="R8" t="str">
        <v>CNKD_LDG_ANLT</v>
      </c>
      <c r="S8">
        <f>VLOOKUP(R8,$C$7:$P$27,7,0)</f>
        <v>145101823</v>
      </c>
      <c r="T8">
        <v>31514944.310000002</v>
      </c>
      <c r="U8">
        <f>VLOOKUP(R8,$C$7:$P$27,14,0)</f>
        <v>31134944.310000002</v>
      </c>
      <c r="V8">
        <f>VLOOKUP(R8,$C$7:$P$27,14,0)-T8</f>
        <v>-380000</v>
      </c>
    </row>
    <row r="9">
      <c r="A9" t="str">
        <v>VIETDQ9_NVKDDB_LDG</v>
      </c>
      <c r="B9" t="str">
        <v>ANLT_LDG_CNKD</v>
      </c>
      <c r="C9" t="str">
        <v>CNKD_LDG_ANLT</v>
      </c>
      <c r="D9">
        <v>876</v>
      </c>
      <c r="E9">
        <v>145101823</v>
      </c>
      <c r="F9">
        <v>0</v>
      </c>
      <c r="G9">
        <v>0</v>
      </c>
      <c r="H9">
        <v>876</v>
      </c>
      <c r="I9">
        <v>145101823</v>
      </c>
      <c r="J9">
        <v>0</v>
      </c>
      <c r="K9">
        <v>0</v>
      </c>
      <c r="L9">
        <v>641</v>
      </c>
      <c r="M9">
        <v>109613824</v>
      </c>
      <c r="N9">
        <v>73.17</v>
      </c>
      <c r="O9">
        <v>75.54</v>
      </c>
      <c r="P9">
        <f>I9*0.97-M9</f>
        <v>31134944.310000002</v>
      </c>
      <c r="R9" t="str">
        <v>CNKD_LDG_LINHPM</v>
      </c>
      <c r="S9">
        <f>VLOOKUP(R9,$C$7:$P$27,7,0)</f>
        <v>141474291</v>
      </c>
      <c r="T9">
        <v>51393984.27000001</v>
      </c>
      <c r="U9">
        <f>VLOOKUP(R9,$C$7:$P$27,14,0)</f>
        <v>50303871.27000001</v>
      </c>
      <c r="V9">
        <f>VLOOKUP(R9,$C$7:$P$27,14,0)-T9</f>
        <v>-1090113</v>
      </c>
    </row>
    <row r="10">
      <c r="A10" t="str">
        <v>TAIDT2_CTX_DVTM_LDG</v>
      </c>
      <c r="B10" t="str">
        <v>SONNH_LDG_CNKD</v>
      </c>
      <c r="C10" t="str">
        <v>CNKD_LDG_SONNH</v>
      </c>
      <c r="D10">
        <v>559</v>
      </c>
      <c r="E10">
        <v>93597302</v>
      </c>
      <c r="F10">
        <v>0</v>
      </c>
      <c r="G10">
        <v>0</v>
      </c>
      <c r="H10">
        <v>559</v>
      </c>
      <c r="I10">
        <v>93597302</v>
      </c>
      <c r="J10">
        <v>0</v>
      </c>
      <c r="K10">
        <v>0</v>
      </c>
      <c r="L10">
        <v>400</v>
      </c>
      <c r="M10">
        <v>68792554</v>
      </c>
      <c r="N10">
        <v>71.56</v>
      </c>
      <c r="O10">
        <v>73.5</v>
      </c>
      <c r="P10">
        <f>I10*0.97-M10</f>
        <v>21996828.939999998</v>
      </c>
      <c r="R10" t="str">
        <v>CNKD_LDG_SANGLT</v>
      </c>
      <c r="S10">
        <f>VLOOKUP(R10,$C$7:$P$27,7,0)</f>
        <v>149379338</v>
      </c>
      <c r="T10">
        <v>74164324.85999998</v>
      </c>
      <c r="U10">
        <f>VLOOKUP(R10,$C$7:$P$27,14,0)</f>
        <v>73342657.85999998</v>
      </c>
      <c r="V10">
        <f>VLOOKUP(R10,$C$7:$P$27,14,0)-T10</f>
        <v>-821667</v>
      </c>
    </row>
    <row r="11">
      <c r="A11" t="str">
        <v>TAIDT2_CTX_DVTM_LDG</v>
      </c>
      <c r="B11" t="str">
        <v>HOPVQ_LDG_CNKD</v>
      </c>
      <c r="C11" t="str">
        <v>CNKD_LDG_HOPVQ</v>
      </c>
      <c r="D11">
        <v>308</v>
      </c>
      <c r="E11">
        <v>51982396</v>
      </c>
      <c r="F11">
        <v>0</v>
      </c>
      <c r="G11">
        <v>0</v>
      </c>
      <c r="H11">
        <v>308</v>
      </c>
      <c r="I11">
        <v>51982396</v>
      </c>
      <c r="J11">
        <v>0</v>
      </c>
      <c r="K11">
        <v>0</v>
      </c>
      <c r="L11">
        <v>222</v>
      </c>
      <c r="M11">
        <v>38121943</v>
      </c>
      <c r="N11">
        <v>72.08</v>
      </c>
      <c r="O11">
        <v>73.34</v>
      </c>
      <c r="P11">
        <f>I11*0.97-M11</f>
        <v>12300981.119999997</v>
      </c>
      <c r="R11" t="str">
        <v>CNKD_LDG_NHUANVD</v>
      </c>
      <c r="S11">
        <f>VLOOKUP(R11,$C$7:$P$27,7,0)</f>
        <v>105953075</v>
      </c>
      <c r="T11">
        <v>48270308.75</v>
      </c>
      <c r="U11">
        <f>VLOOKUP(R11,$C$7:$P$27,14,0)</f>
        <v>48042097.75</v>
      </c>
      <c r="V11">
        <f>VLOOKUP(R11,$C$7:$P$27,14,0)-T11</f>
        <v>-228211</v>
      </c>
    </row>
    <row r="12">
      <c r="A12" t="str">
        <v>TAIDT2_CTX_DVTM_LDG</v>
      </c>
      <c r="B12" t="str">
        <v>NHUYK_LDG_CNKD</v>
      </c>
      <c r="C12" t="str">
        <v>CNKD_LDG_NHUYK</v>
      </c>
      <c r="D12">
        <v>716</v>
      </c>
      <c r="E12">
        <v>116427734</v>
      </c>
      <c r="F12">
        <v>0</v>
      </c>
      <c r="G12">
        <v>0</v>
      </c>
      <c r="H12">
        <v>716</v>
      </c>
      <c r="I12">
        <v>116427734</v>
      </c>
      <c r="J12">
        <v>0</v>
      </c>
      <c r="K12">
        <v>0</v>
      </c>
      <c r="L12">
        <v>505</v>
      </c>
      <c r="M12">
        <v>85296755</v>
      </c>
      <c r="N12">
        <v>70.53</v>
      </c>
      <c r="O12">
        <v>73.26</v>
      </c>
      <c r="P12">
        <f>I12*0.97-M12</f>
        <v>27638146.980000004</v>
      </c>
      <c r="R12" t="str">
        <v>CNKD_LDG_HIEUBT</v>
      </c>
      <c r="S12">
        <f>VLOOKUP(R12,$C$7:$P$27,7,0)</f>
        <v>152862316</v>
      </c>
      <c r="T12">
        <v>40481857.52000001</v>
      </c>
      <c r="U12">
        <f>VLOOKUP(R12,$C$7:$P$27,14,0)</f>
        <v>39211857.52000001</v>
      </c>
      <c r="V12">
        <f>VLOOKUP(R12,$C$7:$P$27,14,0)-T12</f>
        <v>-1270000</v>
      </c>
    </row>
    <row r="13">
      <c r="A13" t="str">
        <v>SONTV10_NVKDDB_LDG</v>
      </c>
      <c r="B13" t="str">
        <v>THUONGNTH_LDG_CNKD</v>
      </c>
      <c r="C13" t="str">
        <v>CNKD_LDG_THUONGNTH</v>
      </c>
      <c r="D13">
        <v>1181</v>
      </c>
      <c r="E13">
        <v>189656153</v>
      </c>
      <c r="F13">
        <v>0</v>
      </c>
      <c r="G13">
        <v>0</v>
      </c>
      <c r="H13">
        <v>1181</v>
      </c>
      <c r="I13">
        <v>189656153</v>
      </c>
      <c r="J13">
        <v>0</v>
      </c>
      <c r="K13">
        <v>0</v>
      </c>
      <c r="L13">
        <v>839</v>
      </c>
      <c r="M13">
        <v>136817073</v>
      </c>
      <c r="N13">
        <v>71.04</v>
      </c>
      <c r="O13">
        <v>72.14</v>
      </c>
      <c r="P13">
        <f>I13*0.97-M13</f>
        <v>47149395.41</v>
      </c>
      <c r="R13" t="str">
        <v>CNKD_LDG_PHUONGNTT1</v>
      </c>
      <c r="S13">
        <f>VLOOKUP(R13,$C$7:$P$27,7,0)</f>
        <v>180440547</v>
      </c>
      <c r="T13">
        <v>47325247.59</v>
      </c>
      <c r="U13">
        <f>VLOOKUP(R13,$C$7:$P$27,14,0)</f>
        <v>46507428.59</v>
      </c>
      <c r="V13">
        <f>VLOOKUP(R13,$C$7:$P$27,14,0)-T13</f>
        <v>-817819</v>
      </c>
    </row>
    <row r="14">
      <c r="A14" t="str">
        <v>SONTV10_NVKDDB_LDG</v>
      </c>
      <c r="B14" t="str">
        <v>HIEUBT_LDG_CNKD</v>
      </c>
      <c r="C14" t="str">
        <v>CNKD_LDG_HIEUBT</v>
      </c>
      <c r="D14">
        <v>941</v>
      </c>
      <c r="E14">
        <v>152862316</v>
      </c>
      <c r="F14">
        <v>0</v>
      </c>
      <c r="G14">
        <v>0</v>
      </c>
      <c r="H14">
        <v>941</v>
      </c>
      <c r="I14">
        <v>152862316</v>
      </c>
      <c r="J14">
        <v>0</v>
      </c>
      <c r="K14">
        <v>0</v>
      </c>
      <c r="L14">
        <v>633</v>
      </c>
      <c r="M14">
        <v>109064589</v>
      </c>
      <c r="N14">
        <v>67.27</v>
      </c>
      <c r="O14">
        <v>71.35</v>
      </c>
      <c r="P14">
        <f>I14*0.97-M14</f>
        <v>39211857.52000001</v>
      </c>
      <c r="R14" t="str">
        <v>CNKD_LDG_HANGBT</v>
      </c>
      <c r="S14">
        <f>VLOOKUP(R14,$C$7:$P$27,7,0)</f>
        <v>162344260</v>
      </c>
      <c r="T14">
        <v>54899043.19999999</v>
      </c>
      <c r="U14">
        <f>VLOOKUP(R14,$C$7:$P$27,14,0)</f>
        <v>53941079.19999999</v>
      </c>
      <c r="V14">
        <f>VLOOKUP(R14,$C$7:$P$27,14,0)-T14</f>
        <v>-957964</v>
      </c>
    </row>
    <row r="15">
      <c r="A15" t="str">
        <v>SONTV10_NVKDDB_LDG</v>
      </c>
      <c r="B15" t="str">
        <v>PHUONGNTT1_LDG_CNKD</v>
      </c>
      <c r="C15" t="str">
        <v>CNKD_LDG_PHUONGNTT1</v>
      </c>
      <c r="D15">
        <v>1048</v>
      </c>
      <c r="E15">
        <v>180440547</v>
      </c>
      <c r="F15">
        <v>0</v>
      </c>
      <c r="G15">
        <v>0</v>
      </c>
      <c r="H15">
        <v>1048</v>
      </c>
      <c r="I15">
        <v>180440547</v>
      </c>
      <c r="J15">
        <v>0</v>
      </c>
      <c r="K15">
        <v>0</v>
      </c>
      <c r="L15">
        <v>725</v>
      </c>
      <c r="M15">
        <v>128519902</v>
      </c>
      <c r="N15">
        <v>69.18</v>
      </c>
      <c r="O15">
        <v>71.23</v>
      </c>
      <c r="P15">
        <f>I15*0.97-M15</f>
        <v>46507428.59</v>
      </c>
      <c r="R15" t="str">
        <v>CNKD_LDG_SANGTV</v>
      </c>
      <c r="S15">
        <f>VLOOKUP(R15,$C$7:$P$27,7,0)</f>
        <v>194517020</v>
      </c>
      <c r="T15">
        <v>73856161.4</v>
      </c>
      <c r="U15">
        <f>VLOOKUP(R15,$C$7:$P$27,14,0)</f>
        <v>72499143.4</v>
      </c>
      <c r="V15">
        <f>VLOOKUP(R15,$C$7:$P$27,14,0)-T15</f>
        <v>-1357018</v>
      </c>
    </row>
    <row r="16">
      <c r="A16" t="str">
        <v>TAIDT2_CTX_DVTM_LDG</v>
      </c>
      <c r="B16" t="str">
        <v>LOANBTB_LDG_CNKD</v>
      </c>
      <c r="C16" t="str">
        <v>CNKD_LDG_LOANBTB</v>
      </c>
      <c r="D16">
        <v>356</v>
      </c>
      <c r="E16">
        <v>53605661</v>
      </c>
      <c r="F16">
        <v>0</v>
      </c>
      <c r="G16">
        <v>0</v>
      </c>
      <c r="H16">
        <v>356</v>
      </c>
      <c r="I16">
        <v>53605661</v>
      </c>
      <c r="J16">
        <v>0</v>
      </c>
      <c r="K16">
        <v>0</v>
      </c>
      <c r="L16">
        <v>231</v>
      </c>
      <c r="M16">
        <v>36880160</v>
      </c>
      <c r="N16">
        <v>64.89</v>
      </c>
      <c r="O16">
        <v>68.8</v>
      </c>
      <c r="P16">
        <f>I16*0.97-M16</f>
        <v>15117331.170000002</v>
      </c>
      <c r="R16" t="str">
        <v>CNKD_LDG_THUONGNTH</v>
      </c>
      <c r="S16">
        <f>VLOOKUP(R16,$C$7:$P$27,7,0)</f>
        <v>189656153</v>
      </c>
      <c r="T16">
        <v>48363643.41</v>
      </c>
      <c r="U16">
        <f>VLOOKUP(R16,$C$7:$P$27,14,0)</f>
        <v>47149395.41</v>
      </c>
      <c r="V16">
        <f>VLOOKUP(R16,$C$7:$P$27,14,0)-T16</f>
        <v>-1214248</v>
      </c>
    </row>
    <row r="17">
      <c r="A17" t="str">
        <v>TAIDT2_CTX_DVTM_LDG</v>
      </c>
      <c r="B17" t="str">
        <v>VANVV_LDG_CNKD</v>
      </c>
      <c r="C17" t="str">
        <v>CNKD_LDG_VANVV</v>
      </c>
      <c r="D17">
        <v>415</v>
      </c>
      <c r="E17">
        <v>66800107</v>
      </c>
      <c r="F17">
        <v>0</v>
      </c>
      <c r="G17">
        <v>0</v>
      </c>
      <c r="H17">
        <v>415</v>
      </c>
      <c r="I17">
        <v>66800107</v>
      </c>
      <c r="J17">
        <v>0</v>
      </c>
      <c r="K17">
        <v>0</v>
      </c>
      <c r="L17">
        <v>272</v>
      </c>
      <c r="M17">
        <v>45734536</v>
      </c>
      <c r="N17">
        <v>65.54</v>
      </c>
      <c r="O17">
        <v>68.46</v>
      </c>
      <c r="P17">
        <f>I17*0.97-M17</f>
        <v>19061567.79</v>
      </c>
      <c r="R17" t="str">
        <v>CNKD_LDG_HUONGVTT</v>
      </c>
      <c r="S17">
        <f>VLOOKUP(R17,$C$7:$P$27,7,0)</f>
        <v>95369711</v>
      </c>
      <c r="T17">
        <v>47701941.67</v>
      </c>
      <c r="U17">
        <f>VLOOKUP(R17,$C$7:$P$27,14,0)</f>
        <v>47159441.67</v>
      </c>
      <c r="V17">
        <f>VLOOKUP(R17,$C$7:$P$27,14,0)-T17</f>
        <v>-542500</v>
      </c>
    </row>
    <row r="18">
      <c r="A18" t="str">
        <v>TAIDT2_CTX_DVTM_LDG</v>
      </c>
      <c r="B18" t="str">
        <v>MAITTN_LDG_CNKD</v>
      </c>
      <c r="C18" t="str">
        <v>CNKD_LDG_MAITTN</v>
      </c>
      <c r="D18">
        <v>318</v>
      </c>
      <c r="E18">
        <v>50351985</v>
      </c>
      <c r="F18">
        <v>0</v>
      </c>
      <c r="G18">
        <v>0</v>
      </c>
      <c r="H18">
        <v>318</v>
      </c>
      <c r="I18">
        <v>50351985</v>
      </c>
      <c r="J18">
        <v>0</v>
      </c>
      <c r="K18">
        <v>0</v>
      </c>
      <c r="L18">
        <v>207</v>
      </c>
      <c r="M18">
        <v>34434236</v>
      </c>
      <c r="N18">
        <v>65.09</v>
      </c>
      <c r="O18">
        <v>68.39</v>
      </c>
      <c r="P18">
        <f>I18*0.97-M18</f>
        <v>14407189.449999996</v>
      </c>
    </row>
    <row r="19">
      <c r="A19" t="str">
        <v>VIETDQ9_NVKDDB_LDG</v>
      </c>
      <c r="B19" t="str">
        <v>TAMDT_LDG_CNKD</v>
      </c>
      <c r="C19" t="str">
        <v>CNKD_LDG_TAMDT</v>
      </c>
      <c r="D19">
        <v>642</v>
      </c>
      <c r="E19">
        <v>101866340</v>
      </c>
      <c r="F19">
        <v>0</v>
      </c>
      <c r="G19">
        <v>0</v>
      </c>
      <c r="H19">
        <v>642</v>
      </c>
      <c r="I19">
        <v>101866340</v>
      </c>
      <c r="J19">
        <v>0</v>
      </c>
      <c r="K19">
        <v>0</v>
      </c>
      <c r="L19">
        <v>421</v>
      </c>
      <c r="M19">
        <v>69457859</v>
      </c>
      <c r="N19">
        <v>65.58</v>
      </c>
      <c r="O19">
        <v>68.19</v>
      </c>
      <c r="P19">
        <f>I19*0.97-M19</f>
        <v>29352490.799999997</v>
      </c>
    </row>
    <row r="20">
      <c r="A20" t="str">
        <v>SONTV10_NVKDDB_LDG</v>
      </c>
      <c r="B20" t="str">
        <v>HANGBT_LDG_CNKD</v>
      </c>
      <c r="C20" t="str">
        <v>CNKD_LDG_HANGBT</v>
      </c>
      <c r="D20">
        <v>968</v>
      </c>
      <c r="E20">
        <v>162344260</v>
      </c>
      <c r="F20">
        <v>0</v>
      </c>
      <c r="G20">
        <v>0</v>
      </c>
      <c r="H20">
        <v>968</v>
      </c>
      <c r="I20">
        <v>162344260</v>
      </c>
      <c r="J20">
        <v>1</v>
      </c>
      <c r="K20">
        <v>210000</v>
      </c>
      <c r="L20">
        <v>611</v>
      </c>
      <c r="M20">
        <v>103532853</v>
      </c>
      <c r="N20">
        <v>63.12</v>
      </c>
      <c r="O20">
        <v>63.77</v>
      </c>
      <c r="P20">
        <f>I20*0.97-M20</f>
        <v>53941079.19999999</v>
      </c>
    </row>
    <row r="21">
      <c r="A21" t="str">
        <v>VIETDQ9_NVKDDB_LDG</v>
      </c>
      <c r="B21" t="str">
        <v>LINHPM_LDG_CNKD</v>
      </c>
      <c r="C21" t="str">
        <v>CNKD_LDG_LINHPM</v>
      </c>
      <c r="D21">
        <v>853</v>
      </c>
      <c r="E21">
        <v>141474291</v>
      </c>
      <c r="F21">
        <v>0</v>
      </c>
      <c r="G21">
        <v>0</v>
      </c>
      <c r="H21">
        <v>853</v>
      </c>
      <c r="I21">
        <v>141474291</v>
      </c>
      <c r="J21">
        <v>2</v>
      </c>
      <c r="K21">
        <v>279610</v>
      </c>
      <c r="L21">
        <v>514</v>
      </c>
      <c r="M21">
        <v>86926191</v>
      </c>
      <c r="N21">
        <v>60.26</v>
      </c>
      <c r="O21">
        <v>61.44</v>
      </c>
      <c r="P21">
        <f>I21*0.97-M21</f>
        <v>50303871.27000001</v>
      </c>
    </row>
    <row r="22">
      <c r="A22" t="str">
        <v>SONTV10_NVKDDB_LDG</v>
      </c>
      <c r="B22" t="str">
        <v>SANGTV_LDG_CNKD</v>
      </c>
      <c r="C22" t="str">
        <v>CNKD_LDG_SANGTV</v>
      </c>
      <c r="D22">
        <v>1198</v>
      </c>
      <c r="E22">
        <v>194517020</v>
      </c>
      <c r="F22">
        <v>0</v>
      </c>
      <c r="G22">
        <v>0</v>
      </c>
      <c r="H22">
        <v>1198</v>
      </c>
      <c r="I22">
        <v>194517020</v>
      </c>
      <c r="J22">
        <v>1</v>
      </c>
      <c r="K22">
        <v>168000</v>
      </c>
      <c r="L22">
        <v>696</v>
      </c>
      <c r="M22">
        <v>116182366</v>
      </c>
      <c r="N22">
        <v>58.1</v>
      </c>
      <c r="O22">
        <v>59.73</v>
      </c>
      <c r="P22">
        <f>I22*0.97-M22</f>
        <v>72499143.4</v>
      </c>
    </row>
    <row r="23">
      <c r="A23" t="str">
        <v>TAIDT2_CTX_DVTM_LDG</v>
      </c>
      <c r="B23" t="str">
        <v>HUONGNTS_LDG_CNKD</v>
      </c>
      <c r="C23" t="str">
        <v>CNKD_LDG_HUONGNTS</v>
      </c>
      <c r="D23">
        <v>546</v>
      </c>
      <c r="E23">
        <v>89879995</v>
      </c>
      <c r="F23">
        <v>0</v>
      </c>
      <c r="G23">
        <v>0</v>
      </c>
      <c r="H23">
        <v>546</v>
      </c>
      <c r="I23">
        <v>89879995</v>
      </c>
      <c r="J23">
        <v>0</v>
      </c>
      <c r="K23">
        <v>0</v>
      </c>
      <c r="L23">
        <v>278</v>
      </c>
      <c r="M23">
        <v>46878043</v>
      </c>
      <c r="N23">
        <v>50.92</v>
      </c>
      <c r="O23">
        <v>52.16</v>
      </c>
      <c r="P23">
        <f>I23*0.97-M23</f>
        <v>40305552.14999999</v>
      </c>
    </row>
    <row r="24">
      <c r="A24" t="str">
        <v>VIETDQ9_NVKDDB_LDG</v>
      </c>
      <c r="B24" t="str">
        <v>NHUANVD_LDG_CNKD</v>
      </c>
      <c r="C24" t="str">
        <v>CNKD_LDG_NHUANVD</v>
      </c>
      <c r="D24">
        <v>687</v>
      </c>
      <c r="E24">
        <v>105953075</v>
      </c>
      <c r="F24">
        <v>0</v>
      </c>
      <c r="G24">
        <v>0</v>
      </c>
      <c r="H24">
        <v>687</v>
      </c>
      <c r="I24">
        <v>105953075</v>
      </c>
      <c r="J24">
        <v>0</v>
      </c>
      <c r="K24">
        <v>0</v>
      </c>
      <c r="L24">
        <v>347</v>
      </c>
      <c r="M24">
        <v>54732385</v>
      </c>
      <c r="N24">
        <v>50.51</v>
      </c>
      <c r="O24">
        <v>51.66</v>
      </c>
      <c r="P24">
        <f>I24*0.97-M24</f>
        <v>48042097.75</v>
      </c>
    </row>
    <row r="25">
      <c r="A25" t="str">
        <v>VIETDQ9_NVKDDB_LDG</v>
      </c>
      <c r="B25" t="str">
        <v>SANGLT_LDG_CNKD</v>
      </c>
      <c r="C25" t="str">
        <v>CNKD_LDG_SANGLT</v>
      </c>
      <c r="D25">
        <v>892</v>
      </c>
      <c r="E25">
        <v>149379338</v>
      </c>
      <c r="F25">
        <v>0</v>
      </c>
      <c r="G25">
        <v>0</v>
      </c>
      <c r="H25">
        <v>892</v>
      </c>
      <c r="I25">
        <v>149379338</v>
      </c>
      <c r="J25">
        <v>0</v>
      </c>
      <c r="K25">
        <v>0</v>
      </c>
      <c r="L25">
        <v>437</v>
      </c>
      <c r="M25">
        <v>71555300</v>
      </c>
      <c r="N25">
        <v>48.99</v>
      </c>
      <c r="O25">
        <v>47.9</v>
      </c>
      <c r="P25">
        <f>I25*0.97-M25</f>
        <v>73342657.85999998</v>
      </c>
    </row>
    <row r="26">
      <c r="A26" t="str">
        <v>SONTV10_NVKDDB_LDG</v>
      </c>
      <c r="B26" t="str">
        <v>HUONGVTT_LDG_CNKD</v>
      </c>
      <c r="C26" t="str">
        <v>CNKD_LDG_HUONGVTT</v>
      </c>
      <c r="D26">
        <v>588</v>
      </c>
      <c r="E26">
        <v>95369711</v>
      </c>
      <c r="F26">
        <v>0</v>
      </c>
      <c r="G26">
        <v>0</v>
      </c>
      <c r="H26">
        <v>588</v>
      </c>
      <c r="I26">
        <v>95369711</v>
      </c>
      <c r="J26">
        <v>0</v>
      </c>
      <c r="K26">
        <v>0</v>
      </c>
      <c r="L26">
        <v>270</v>
      </c>
      <c r="M26">
        <v>45349178</v>
      </c>
      <c r="N26">
        <v>45.92</v>
      </c>
      <c r="O26">
        <v>47.55</v>
      </c>
      <c r="P26">
        <f>I26*0.97-M26</f>
        <v>47159441.67</v>
      </c>
    </row>
    <row r="27">
      <c r="A27" t="str">
        <v>TAIDT2_CTX_DVTM_LDG</v>
      </c>
      <c r="B27" t="str">
        <v>HUNGTV1_LDG_CNKD</v>
      </c>
      <c r="C27" t="str">
        <v>CNKD_LDG_HUNGTV1</v>
      </c>
      <c r="D27">
        <v>683</v>
      </c>
      <c r="E27">
        <v>105983346</v>
      </c>
      <c r="F27">
        <v>0</v>
      </c>
      <c r="G27">
        <v>0</v>
      </c>
      <c r="H27">
        <v>683</v>
      </c>
      <c r="I27">
        <v>105983346</v>
      </c>
      <c r="J27">
        <v>0</v>
      </c>
      <c r="K27">
        <v>0</v>
      </c>
      <c r="L27">
        <v>197</v>
      </c>
      <c r="M27">
        <v>30173948</v>
      </c>
      <c r="N27">
        <v>28.84</v>
      </c>
      <c r="O27">
        <v>28.47</v>
      </c>
      <c r="P27">
        <f>I27*0.97-M27</f>
        <v>72629897.61999999</v>
      </c>
    </row>
  </sheetData>
  <mergeCells count="18">
    <mergeCell ref="L5:M5"/>
    <mergeCell ref="N5:O5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</mergeCells>
  <pageMargins left="0.6999125161508876" right="0.6999125161508876" top="0.7499062639521802" bottom="0.7499062639521802" header="0.2999625102741512" footer="0.2999625102741512"/>
  <ignoredErrors>
    <ignoredError numberStoredAsText="1" sqref="A1:W2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Sheet2</vt:lpstr>
      <vt:lpstr>gboc</vt:lpstr>
      <vt:lpstr>cuoc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2024-11-09T02:03:42Z</dcterms:created>
  <dcterms:modified xsi:type="dcterms:W3CDTF">2026-02-20T01:23:53Z</dcterms:modified>
  <cp:lastModifiedBy>Đặng Việt</cp:lastModifiedBy>
  <cp:lastPrinted>2025-02-11T08:00:47Z</cp:lastPrinted>
  <cp:revision>0</cp:revision>
  <dc:creator>Apache POI</dc:creator>
</cp:coreProperties>
</file>