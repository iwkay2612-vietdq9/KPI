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ettel 2026\thang 2\"/>
    </mc:Choice>
  </mc:AlternateContent>
  <xr:revisionPtr revIDLastSave="0" documentId="13_ncr:1_{30B2CBCE-4D43-4A3B-B6D8-A484F7BE40CD}" xr6:coauthVersionLast="47" xr6:coauthVersionMax="47" xr10:uidLastSave="{00000000-0000-0000-0000-000000000000}"/>
  <bookViews>
    <workbookView xWindow="-98" yWindow="-98" windowWidth="21795" windowHeight="12975" tabRatio="808" activeTab="3" xr2:uid="{00000000-000D-0000-FFFF-FFFF00000000}"/>
  </bookViews>
  <sheets>
    <sheet name="TH NV" sheetId="2" r:id="rId1"/>
    <sheet name="điểm NV" sheetId="16" r:id="rId2"/>
    <sheet name="tiến độ" sheetId="25" r:id="rId3"/>
    <sheet name="GBOC" sheetId="27" r:id="rId4"/>
    <sheet name="Giao CT" sheetId="3" r:id="rId5"/>
    <sheet name="VDS" sheetId="6" r:id="rId6"/>
    <sheet name="KH ngay" sheetId="12" r:id="rId7"/>
    <sheet name="cuoc" sheetId="24" r:id="rId8"/>
    <sheet name="Sheet2" sheetId="26" r:id="rId9"/>
  </sheets>
  <definedNames>
    <definedName name="__bookmark_1">#REF!</definedName>
    <definedName name="__bookmark_2">#REF!</definedName>
    <definedName name="_xlnm._FilterDatabase" localSheetId="7" hidden="1">cuoc!$A$6:$W$6</definedName>
    <definedName name="_xlnm._FilterDatabase" localSheetId="3" hidden="1">GBOC!$A$6:$DG$6</definedName>
    <definedName name="_xlnm._FilterDatabase" localSheetId="4">'Giao CT'!$A$5:$U$5</definedName>
    <definedName name="_xlnm._FilterDatabase" localSheetId="0">'TH NV'!$A$4:$YY$4</definedName>
    <definedName name="_xlnm._FilterDatabase" localSheetId="2">'tiến độ'!$A$3:$BG$3</definedName>
    <definedName name="_xlnm._FilterDatabase" localSheetId="5" hidden="1">VDS!A1:F1</definedName>
    <definedName name="_xlnm.Print_Area" localSheetId="0">'TH NV'!#REF!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24" l="1"/>
  <c r="S7" i="24"/>
  <c r="P8" i="24"/>
  <c r="S8" i="24"/>
  <c r="P9" i="24"/>
  <c r="S9" i="24"/>
  <c r="P10" i="24"/>
  <c r="S10" i="24"/>
  <c r="P11" i="24"/>
  <c r="S11" i="24"/>
  <c r="P12" i="24"/>
  <c r="S12" i="24"/>
  <c r="P13" i="24"/>
  <c r="S13" i="24"/>
  <c r="P14" i="24"/>
  <c r="S14" i="24"/>
  <c r="P15" i="24"/>
  <c r="S15" i="24"/>
  <c r="P16" i="24"/>
  <c r="S16" i="24"/>
  <c r="P17" i="24"/>
  <c r="S17" i="24"/>
  <c r="P18" i="24"/>
  <c r="P19" i="24"/>
  <c r="P20" i="24"/>
  <c r="P21" i="24"/>
  <c r="P22" i="24"/>
  <c r="P23" i="24"/>
  <c r="P24" i="24"/>
  <c r="P25" i="24"/>
  <c r="P26" i="24"/>
  <c r="P27" i="24"/>
  <c r="AK11" i="25"/>
  <c r="AK12" i="25"/>
  <c r="AK13" i="25"/>
  <c r="AK14" i="25"/>
  <c r="AK15" i="25"/>
  <c r="AK16" i="25"/>
  <c r="AK10" i="25"/>
  <c r="AK5" i="25"/>
  <c r="AK6" i="25"/>
  <c r="AK7" i="25"/>
  <c r="AK8" i="25"/>
  <c r="AK4" i="25"/>
  <c r="Q23" i="25"/>
  <c r="V13" i="24" l="1"/>
  <c r="U16" i="24"/>
  <c r="V16" i="24"/>
  <c r="U13" i="24"/>
  <c r="U8" i="24"/>
  <c r="V8" i="24"/>
  <c r="V12" i="24"/>
  <c r="U12" i="24"/>
  <c r="U7" i="24"/>
  <c r="V7" i="24"/>
  <c r="U17" i="24"/>
  <c r="V17" i="24"/>
  <c r="U9" i="24"/>
  <c r="V9" i="24"/>
  <c r="V14" i="24"/>
  <c r="U14" i="24"/>
  <c r="U11" i="24"/>
  <c r="V11" i="24"/>
  <c r="V15" i="24"/>
  <c r="U15" i="24"/>
  <c r="V10" i="24"/>
  <c r="U10" i="24"/>
  <c r="F12" i="16"/>
  <c r="H12" i="16"/>
  <c r="I12" i="16"/>
  <c r="G3" i="16" l="1"/>
  <c r="H8" i="16"/>
  <c r="H5" i="16"/>
  <c r="H4" i="16"/>
  <c r="N15" i="16"/>
  <c r="N5" i="16"/>
  <c r="N6" i="16"/>
  <c r="N7" i="16"/>
  <c r="N8" i="16"/>
  <c r="N9" i="16"/>
  <c r="N10" i="16"/>
  <c r="N11" i="16"/>
  <c r="N12" i="16"/>
  <c r="N13" i="16"/>
  <c r="N16" i="16"/>
  <c r="N17" i="16"/>
  <c r="N4" i="16"/>
  <c r="BE5" i="25"/>
  <c r="BE6" i="25"/>
  <c r="BE7" i="25"/>
  <c r="BE8" i="25"/>
  <c r="BE10" i="25"/>
  <c r="BE11" i="25"/>
  <c r="BE12" i="25"/>
  <c r="BE13" i="25"/>
  <c r="BE14" i="25"/>
  <c r="BE15" i="25"/>
  <c r="BE16" i="25"/>
  <c r="BE4" i="25"/>
  <c r="BA5" i="25"/>
  <c r="BA6" i="25"/>
  <c r="BA7" i="25"/>
  <c r="BA8" i="25"/>
  <c r="BA10" i="25"/>
  <c r="BA11" i="25"/>
  <c r="BA12" i="25"/>
  <c r="BA13" i="25"/>
  <c r="BA14" i="25"/>
  <c r="BA15" i="25"/>
  <c r="BA16" i="25"/>
  <c r="BA4" i="25"/>
  <c r="AW5" i="25"/>
  <c r="AW6" i="25"/>
  <c r="AW7" i="25"/>
  <c r="AW8" i="25"/>
  <c r="AW10" i="25"/>
  <c r="AW11" i="25"/>
  <c r="AW12" i="25"/>
  <c r="AW13" i="25"/>
  <c r="AW14" i="25"/>
  <c r="AW15" i="25"/>
  <c r="AW16" i="25"/>
  <c r="AW4" i="25"/>
  <c r="AS4" i="25"/>
  <c r="AU4" i="25" s="1"/>
  <c r="AO5" i="25"/>
  <c r="AO6" i="25"/>
  <c r="AO7" i="25"/>
  <c r="AO8" i="25"/>
  <c r="AO10" i="25"/>
  <c r="AO11" i="25"/>
  <c r="AO12" i="25"/>
  <c r="AO13" i="25"/>
  <c r="AO14" i="25"/>
  <c r="AO15" i="25"/>
  <c r="AO16" i="25"/>
  <c r="AO4" i="25"/>
  <c r="AG5" i="25"/>
  <c r="AG6" i="25"/>
  <c r="AG7" i="25"/>
  <c r="AG8" i="25"/>
  <c r="AG10" i="25"/>
  <c r="AG11" i="25"/>
  <c r="AG12" i="25"/>
  <c r="AG13" i="25"/>
  <c r="AG14" i="25"/>
  <c r="AG15" i="25"/>
  <c r="AG16" i="25"/>
  <c r="AG4" i="25"/>
  <c r="AC5" i="25"/>
  <c r="AC6" i="25"/>
  <c r="AC7" i="25"/>
  <c r="AC8" i="25"/>
  <c r="AC10" i="25"/>
  <c r="AC11" i="25"/>
  <c r="AC12" i="25"/>
  <c r="AC13" i="25"/>
  <c r="AC14" i="25"/>
  <c r="AC15" i="25"/>
  <c r="AC16" i="25"/>
  <c r="AC4" i="25"/>
  <c r="Y5" i="25"/>
  <c r="Y6" i="25"/>
  <c r="Y7" i="25"/>
  <c r="Y8" i="25"/>
  <c r="Y10" i="25"/>
  <c r="Y11" i="25"/>
  <c r="Y12" i="25"/>
  <c r="Y13" i="25"/>
  <c r="Y14" i="25"/>
  <c r="Y15" i="25"/>
  <c r="Y16" i="25"/>
  <c r="Y4" i="25"/>
  <c r="U5" i="25"/>
  <c r="U6" i="25"/>
  <c r="U7" i="25"/>
  <c r="U8" i="25"/>
  <c r="U10" i="25"/>
  <c r="U11" i="25"/>
  <c r="U12" i="25"/>
  <c r="U13" i="25"/>
  <c r="U14" i="25"/>
  <c r="U15" i="25"/>
  <c r="U16" i="25"/>
  <c r="U4" i="25"/>
  <c r="Q5" i="25"/>
  <c r="Q6" i="25"/>
  <c r="Q7" i="25"/>
  <c r="Q8" i="25"/>
  <c r="Q10" i="25"/>
  <c r="Q11" i="25"/>
  <c r="Q12" i="25"/>
  <c r="Q13" i="25"/>
  <c r="Q14" i="25"/>
  <c r="Q15" i="25"/>
  <c r="Q16" i="25"/>
  <c r="Q4" i="25"/>
  <c r="M5" i="25"/>
  <c r="M6" i="25"/>
  <c r="M7" i="25"/>
  <c r="M8" i="25"/>
  <c r="M10" i="25"/>
  <c r="M11" i="25"/>
  <c r="M12" i="25"/>
  <c r="M13" i="25"/>
  <c r="M14" i="25"/>
  <c r="M15" i="25"/>
  <c r="M16" i="25"/>
  <c r="M4" i="25"/>
  <c r="I5" i="25"/>
  <c r="I6" i="25"/>
  <c r="I7" i="25"/>
  <c r="I8" i="25"/>
  <c r="I10" i="25"/>
  <c r="I11" i="25"/>
  <c r="I12" i="25"/>
  <c r="I13" i="25"/>
  <c r="I14" i="25"/>
  <c r="I15" i="25"/>
  <c r="I16" i="25"/>
  <c r="I4" i="25"/>
  <c r="E5" i="25"/>
  <c r="E6" i="25"/>
  <c r="E7" i="25"/>
  <c r="E8" i="25"/>
  <c r="E10" i="25"/>
  <c r="E11" i="25"/>
  <c r="E12" i="25"/>
  <c r="E13" i="25"/>
  <c r="E14" i="25"/>
  <c r="E15" i="25"/>
  <c r="E16" i="25"/>
  <c r="E4" i="25"/>
  <c r="C34" i="25"/>
  <c r="C33" i="25"/>
  <c r="C32" i="25"/>
  <c r="C30" i="25"/>
  <c r="C29" i="25"/>
  <c r="C28" i="25"/>
  <c r="C27" i="25"/>
  <c r="C26" i="25"/>
  <c r="C25" i="25"/>
  <c r="C24" i="25"/>
  <c r="C23" i="25"/>
  <c r="C22" i="25"/>
  <c r="C21" i="25"/>
  <c r="BE6" i="2"/>
  <c r="BE7" i="2"/>
  <c r="BE8" i="2"/>
  <c r="BE9" i="2"/>
  <c r="BE10" i="2"/>
  <c r="BE11" i="2"/>
  <c r="BE12" i="2"/>
  <c r="BE13" i="2"/>
  <c r="BE14" i="2"/>
  <c r="BE15" i="2"/>
  <c r="BE16" i="2"/>
  <c r="BE17" i="2"/>
  <c r="BE18" i="2"/>
  <c r="BE5" i="2"/>
  <c r="BA6" i="2"/>
  <c r="BA7" i="2"/>
  <c r="BA8" i="2"/>
  <c r="BA9" i="2"/>
  <c r="BA10" i="2"/>
  <c r="BA11" i="2"/>
  <c r="BA12" i="2"/>
  <c r="BA13" i="2"/>
  <c r="BA14" i="2"/>
  <c r="BA15" i="2"/>
  <c r="BA16" i="2"/>
  <c r="BA17" i="2"/>
  <c r="BA18" i="2"/>
  <c r="BA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5" i="2"/>
  <c r="C33" i="2"/>
  <c r="C32" i="2"/>
  <c r="C31" i="2"/>
  <c r="C29" i="2"/>
  <c r="C28" i="2"/>
  <c r="C27" i="2"/>
  <c r="C26" i="2"/>
  <c r="C25" i="2"/>
  <c r="C24" i="2"/>
  <c r="C23" i="2"/>
  <c r="C22" i="2"/>
  <c r="C21" i="2"/>
  <c r="C20" i="2"/>
  <c r="S7" i="3"/>
  <c r="BD10" i="25" s="1"/>
  <c r="S8" i="3"/>
  <c r="BD7" i="2" s="1"/>
  <c r="S9" i="3"/>
  <c r="S10" i="3"/>
  <c r="BD9" i="2" s="1"/>
  <c r="S11" i="3"/>
  <c r="BD10" i="2" s="1"/>
  <c r="S12" i="3"/>
  <c r="S13" i="3"/>
  <c r="S14" i="3"/>
  <c r="BD12" i="2" s="1"/>
  <c r="S15" i="3"/>
  <c r="BD13" i="2" s="1"/>
  <c r="S16" i="3"/>
  <c r="BD7" i="25" s="1"/>
  <c r="S17" i="3"/>
  <c r="BD15" i="25" s="1"/>
  <c r="S18" i="3"/>
  <c r="BD8" i="25" s="1"/>
  <c r="S19" i="3"/>
  <c r="BD17" i="2" s="1"/>
  <c r="S20" i="3"/>
  <c r="BD18" i="2" s="1"/>
  <c r="S6" i="3"/>
  <c r="BD5" i="2" s="1"/>
  <c r="R7" i="3"/>
  <c r="AZ10" i="25" s="1"/>
  <c r="R8" i="3"/>
  <c r="AZ11" i="25" s="1"/>
  <c r="R9" i="3"/>
  <c r="AZ12" i="25" s="1"/>
  <c r="R10" i="3"/>
  <c r="AZ9" i="2" s="1"/>
  <c r="R11" i="3"/>
  <c r="R12" i="3"/>
  <c r="AZ5" i="25" s="1"/>
  <c r="R13" i="3"/>
  <c r="R14" i="3"/>
  <c r="AZ6" i="25" s="1"/>
  <c r="R15" i="3"/>
  <c r="AZ13" i="2" s="1"/>
  <c r="R16" i="3"/>
  <c r="AZ14" i="2" s="1"/>
  <c r="R17" i="3"/>
  <c r="AZ15" i="2" s="1"/>
  <c r="R18" i="3"/>
  <c r="AZ16" i="2" s="1"/>
  <c r="R19" i="3"/>
  <c r="AZ17" i="2" s="1"/>
  <c r="R20" i="3"/>
  <c r="AZ18" i="2" s="1"/>
  <c r="R6" i="3"/>
  <c r="Q7" i="3"/>
  <c r="AV6" i="2" s="1"/>
  <c r="Q8" i="3"/>
  <c r="AV7" i="2" s="1"/>
  <c r="Q9" i="3"/>
  <c r="AV8" i="2" s="1"/>
  <c r="Q10" i="3"/>
  <c r="AV9" i="2" s="1"/>
  <c r="Q11" i="3"/>
  <c r="AV10" i="2" s="1"/>
  <c r="Q12" i="3"/>
  <c r="Q13" i="3"/>
  <c r="Q14" i="3"/>
  <c r="AV6" i="25" s="1"/>
  <c r="Q15" i="3"/>
  <c r="AV13" i="2" s="1"/>
  <c r="Q16" i="3"/>
  <c r="AV7" i="25" s="1"/>
  <c r="Q17" i="3"/>
  <c r="AV15" i="2" s="1"/>
  <c r="Q18" i="3"/>
  <c r="Q19" i="3"/>
  <c r="AV17" i="2" s="1"/>
  <c r="Q20" i="3"/>
  <c r="AV18" i="2" s="1"/>
  <c r="Q6" i="3"/>
  <c r="AV5" i="2" s="1"/>
  <c r="O7" i="3"/>
  <c r="O8" i="3"/>
  <c r="O9" i="3"/>
  <c r="O10" i="3"/>
  <c r="AN9" i="2" s="1"/>
  <c r="O11" i="3"/>
  <c r="AN13" i="25" s="1"/>
  <c r="O12" i="3"/>
  <c r="AN11" i="2" s="1"/>
  <c r="O13" i="3"/>
  <c r="O14" i="3"/>
  <c r="AN6" i="25" s="1"/>
  <c r="O15" i="3"/>
  <c r="AN14" i="25" s="1"/>
  <c r="O16" i="3"/>
  <c r="AN7" i="25" s="1"/>
  <c r="O17" i="3"/>
  <c r="AN15" i="25" s="1"/>
  <c r="O18" i="3"/>
  <c r="AN16" i="2" s="1"/>
  <c r="O19" i="3"/>
  <c r="AN17" i="2" s="1"/>
  <c r="O20" i="3"/>
  <c r="AN18" i="2" s="1"/>
  <c r="O6" i="3"/>
  <c r="AN5" i="2" s="1"/>
  <c r="N7" i="3"/>
  <c r="AJ6" i="2" s="1"/>
  <c r="N8" i="3"/>
  <c r="AJ7" i="2" s="1"/>
  <c r="N9" i="3"/>
  <c r="AJ8" i="2" s="1"/>
  <c r="N10" i="3"/>
  <c r="AJ9" i="2" s="1"/>
  <c r="N11" i="3"/>
  <c r="AJ10" i="2" s="1"/>
  <c r="N12" i="3"/>
  <c r="N13" i="3"/>
  <c r="N14" i="3"/>
  <c r="N15" i="3"/>
  <c r="AJ13" i="2" s="1"/>
  <c r="N16" i="3"/>
  <c r="AJ14" i="2" s="1"/>
  <c r="N17" i="3"/>
  <c r="AJ15" i="25" s="1"/>
  <c r="N18" i="3"/>
  <c r="AJ8" i="25" s="1"/>
  <c r="N19" i="3"/>
  <c r="AJ16" i="25" s="1"/>
  <c r="N20" i="3"/>
  <c r="AJ18" i="2" s="1"/>
  <c r="N6" i="3"/>
  <c r="AJ4" i="25" s="1"/>
  <c r="M7" i="3"/>
  <c r="AF10" i="25" s="1"/>
  <c r="M8" i="3"/>
  <c r="AF11" i="25" s="1"/>
  <c r="M9" i="3"/>
  <c r="AF12" i="25" s="1"/>
  <c r="M10" i="3"/>
  <c r="AF9" i="2" s="1"/>
  <c r="M11" i="3"/>
  <c r="AF13" i="25" s="1"/>
  <c r="M12" i="3"/>
  <c r="AF11" i="2" s="1"/>
  <c r="M13" i="3"/>
  <c r="M14" i="3"/>
  <c r="M15" i="3"/>
  <c r="M16" i="3"/>
  <c r="M17" i="3"/>
  <c r="AF15" i="2" s="1"/>
  <c r="M18" i="3"/>
  <c r="M19" i="3"/>
  <c r="AF16" i="25" s="1"/>
  <c r="M20" i="3"/>
  <c r="AF18" i="2" s="1"/>
  <c r="M6" i="3"/>
  <c r="AF4" i="25" s="1"/>
  <c r="L7" i="3"/>
  <c r="AB6" i="2" s="1"/>
  <c r="L8" i="3"/>
  <c r="AB11" i="25" s="1"/>
  <c r="L9" i="3"/>
  <c r="AB8" i="2" s="1"/>
  <c r="L10" i="3"/>
  <c r="AB9" i="2" s="1"/>
  <c r="L11" i="3"/>
  <c r="AB10" i="2" s="1"/>
  <c r="L12" i="3"/>
  <c r="AB5" i="25" s="1"/>
  <c r="L13" i="3"/>
  <c r="L14" i="3"/>
  <c r="AB12" i="2" s="1"/>
  <c r="L15" i="3"/>
  <c r="L16" i="3"/>
  <c r="L17" i="3"/>
  <c r="L18" i="3"/>
  <c r="AB16" i="2" s="1"/>
  <c r="L19" i="3"/>
  <c r="L20" i="3"/>
  <c r="AB18" i="2" s="1"/>
  <c r="L6" i="3"/>
  <c r="AB4" i="25" s="1"/>
  <c r="K7" i="3"/>
  <c r="X10" i="25" s="1"/>
  <c r="K8" i="3"/>
  <c r="X11" i="25" s="1"/>
  <c r="K9" i="3"/>
  <c r="X12" i="25" s="1"/>
  <c r="K10" i="3"/>
  <c r="X9" i="2" s="1"/>
  <c r="K11" i="3"/>
  <c r="X13" i="25" s="1"/>
  <c r="K12" i="3"/>
  <c r="X11" i="2" s="1"/>
  <c r="K13" i="3"/>
  <c r="K14" i="3"/>
  <c r="X12" i="2" s="1"/>
  <c r="K15" i="3"/>
  <c r="X14" i="25" s="1"/>
  <c r="K16" i="3"/>
  <c r="K17" i="3"/>
  <c r="X15" i="25" s="1"/>
  <c r="K18" i="3"/>
  <c r="X8" i="25" s="1"/>
  <c r="K19" i="3"/>
  <c r="X17" i="2" s="1"/>
  <c r="K20" i="3"/>
  <c r="X18" i="2" s="1"/>
  <c r="K6" i="3"/>
  <c r="X5" i="2" s="1"/>
  <c r="J7" i="3"/>
  <c r="T10" i="25" s="1"/>
  <c r="J8" i="3"/>
  <c r="T7" i="2" s="1"/>
  <c r="J9" i="3"/>
  <c r="T8" i="2" s="1"/>
  <c r="J10" i="3"/>
  <c r="T9" i="2" s="1"/>
  <c r="J11" i="3"/>
  <c r="T10" i="2" s="1"/>
  <c r="J12" i="3"/>
  <c r="J13" i="3"/>
  <c r="J14" i="3"/>
  <c r="J15" i="3"/>
  <c r="T13" i="2" s="1"/>
  <c r="J16" i="3"/>
  <c r="T14" i="2" s="1"/>
  <c r="J17" i="3"/>
  <c r="J18" i="3"/>
  <c r="J19" i="3"/>
  <c r="T16" i="25" s="1"/>
  <c r="J20" i="3"/>
  <c r="T18" i="2" s="1"/>
  <c r="J6" i="3"/>
  <c r="T4" i="25" s="1"/>
  <c r="I7" i="3"/>
  <c r="P6" i="2" s="1"/>
  <c r="I8" i="3"/>
  <c r="P11" i="25" s="1"/>
  <c r="I9" i="3"/>
  <c r="P12" i="25" s="1"/>
  <c r="I10" i="3"/>
  <c r="P9" i="2" s="1"/>
  <c r="I11" i="3"/>
  <c r="P13" i="25" s="1"/>
  <c r="I12" i="3"/>
  <c r="P11" i="2" s="1"/>
  <c r="I13" i="3"/>
  <c r="I14" i="3"/>
  <c r="P12" i="2" s="1"/>
  <c r="I15" i="3"/>
  <c r="I16" i="3"/>
  <c r="I17" i="3"/>
  <c r="I18" i="3"/>
  <c r="I19" i="3"/>
  <c r="I20" i="3"/>
  <c r="P18" i="2" s="1"/>
  <c r="I6" i="3"/>
  <c r="P4" i="25" s="1"/>
  <c r="H7" i="3"/>
  <c r="L6" i="2" s="1"/>
  <c r="H10" i="3"/>
  <c r="L9" i="2" s="1"/>
  <c r="H13" i="3"/>
  <c r="H14" i="3"/>
  <c r="L6" i="25" s="1"/>
  <c r="H15" i="3"/>
  <c r="L14" i="25" s="1"/>
  <c r="H16" i="3"/>
  <c r="L14" i="2" s="1"/>
  <c r="H18" i="3"/>
  <c r="L16" i="2" s="1"/>
  <c r="H20" i="3"/>
  <c r="L18" i="2" s="1"/>
  <c r="H6" i="3"/>
  <c r="G13" i="3"/>
  <c r="F13" i="3"/>
  <c r="AT20" i="12"/>
  <c r="AS20" i="12"/>
  <c r="Q20" i="12"/>
  <c r="AT19" i="12"/>
  <c r="AS19" i="12"/>
  <c r="Q19" i="12"/>
  <c r="AT18" i="12"/>
  <c r="AS18" i="12"/>
  <c r="Q18" i="12"/>
  <c r="AT17" i="12"/>
  <c r="AS17" i="12"/>
  <c r="Q17" i="12"/>
  <c r="AT16" i="12"/>
  <c r="AS16" i="12"/>
  <c r="Q16" i="12"/>
  <c r="AT15" i="12"/>
  <c r="AS15" i="12"/>
  <c r="Q15" i="12"/>
  <c r="AT14" i="12"/>
  <c r="AS14" i="12"/>
  <c r="Q14" i="12"/>
  <c r="AT13" i="12"/>
  <c r="AS13" i="12"/>
  <c r="Q13" i="12"/>
  <c r="AT12" i="12"/>
  <c r="AS12" i="12"/>
  <c r="Q12" i="12"/>
  <c r="AT11" i="12"/>
  <c r="AS11" i="12"/>
  <c r="Q11" i="12"/>
  <c r="AT10" i="12"/>
  <c r="AS10" i="12"/>
  <c r="Q10" i="12"/>
  <c r="AT9" i="12"/>
  <c r="AS9" i="12"/>
  <c r="Q9" i="12"/>
  <c r="AT8" i="12"/>
  <c r="AS8" i="12"/>
  <c r="Q8" i="12"/>
  <c r="AT7" i="12"/>
  <c r="AS7" i="12"/>
  <c r="Q7" i="12"/>
  <c r="AT6" i="12"/>
  <c r="AS6" i="12"/>
  <c r="Q6" i="12"/>
  <c r="AT5" i="12"/>
  <c r="AS5" i="12"/>
  <c r="Q5" i="12"/>
  <c r="K4" i="12"/>
  <c r="J4" i="12"/>
  <c r="I4" i="12"/>
  <c r="H4" i="12"/>
  <c r="G4" i="12"/>
  <c r="F4" i="12"/>
  <c r="E4" i="12"/>
  <c r="D4" i="12"/>
  <c r="C4" i="12"/>
  <c r="F26" i="6"/>
  <c r="F25" i="6"/>
  <c r="C37" i="3"/>
  <c r="C36" i="3"/>
  <c r="C34" i="3"/>
  <c r="C32" i="3"/>
  <c r="C31" i="3"/>
  <c r="C30" i="3"/>
  <c r="C29" i="3"/>
  <c r="C28" i="3"/>
  <c r="C27" i="3"/>
  <c r="C26" i="3"/>
  <c r="C25" i="3"/>
  <c r="C24" i="3"/>
  <c r="G7" i="3" s="1"/>
  <c r="H10" i="25" s="1"/>
  <c r="C23" i="3"/>
  <c r="F8" i="3" s="1"/>
  <c r="D11" i="25" s="1"/>
  <c r="H14" i="16"/>
  <c r="H13" i="16"/>
  <c r="H11" i="16"/>
  <c r="H10" i="16"/>
  <c r="H9" i="16"/>
  <c r="H7" i="16"/>
  <c r="H6" i="16"/>
  <c r="C20" i="25"/>
  <c r="B20" i="25"/>
  <c r="C19" i="25"/>
  <c r="B19" i="25"/>
  <c r="AS16" i="25"/>
  <c r="AU16" i="25" s="1"/>
  <c r="AS15" i="25"/>
  <c r="AU15" i="25" s="1"/>
  <c r="AS14" i="25"/>
  <c r="AT14" i="25" s="1"/>
  <c r="AS13" i="25"/>
  <c r="AS12" i="25"/>
  <c r="AU12" i="25" s="1"/>
  <c r="AS11" i="25"/>
  <c r="AU11" i="25" s="1"/>
  <c r="AS10" i="25"/>
  <c r="AT10" i="25" s="1"/>
  <c r="AS8" i="25"/>
  <c r="AT8" i="25" s="1"/>
  <c r="AS7" i="25"/>
  <c r="AU7" i="25" s="1"/>
  <c r="AS6" i="25"/>
  <c r="AT6" i="25" s="1"/>
  <c r="AS5" i="25"/>
  <c r="AT5" i="25" s="1"/>
  <c r="F19" i="2"/>
  <c r="I19" i="2" s="1"/>
  <c r="K19" i="2" s="1"/>
  <c r="AS18" i="2"/>
  <c r="AT18" i="2" s="1"/>
  <c r="AS17" i="2"/>
  <c r="AT17" i="2" s="1"/>
  <c r="AS16" i="2"/>
  <c r="AU16" i="2" s="1"/>
  <c r="AS15" i="2"/>
  <c r="AU15" i="2" s="1"/>
  <c r="AS14" i="2"/>
  <c r="AU14" i="2" s="1"/>
  <c r="AS13" i="2"/>
  <c r="AU13" i="2" s="1"/>
  <c r="AS12" i="2"/>
  <c r="AS11" i="2"/>
  <c r="AT11" i="2" s="1"/>
  <c r="AS10" i="2"/>
  <c r="AU10" i="2" s="1"/>
  <c r="AS9" i="2"/>
  <c r="AU9" i="2" s="1"/>
  <c r="AS8" i="2"/>
  <c r="AT8" i="2" s="1"/>
  <c r="AS7" i="2"/>
  <c r="AS6" i="2"/>
  <c r="AU6" i="2" s="1"/>
  <c r="AS5" i="2"/>
  <c r="D12" i="16" l="1"/>
  <c r="D9" i="16"/>
  <c r="D8" i="16"/>
  <c r="AI4" i="25"/>
  <c r="AV16" i="2"/>
  <c r="AV8" i="25"/>
  <c r="L12" i="2"/>
  <c r="AZ11" i="2"/>
  <c r="BC11" i="2" s="1"/>
  <c r="P5" i="25"/>
  <c r="S5" i="25" s="1"/>
  <c r="AV4" i="25"/>
  <c r="D10" i="16"/>
  <c r="AV14" i="25"/>
  <c r="AY14" i="25" s="1"/>
  <c r="BD16" i="25"/>
  <c r="BF16" i="25" s="1"/>
  <c r="AN16" i="25"/>
  <c r="AV13" i="25"/>
  <c r="AJ10" i="25"/>
  <c r="AN5" i="25"/>
  <c r="AV12" i="25"/>
  <c r="AZ15" i="25"/>
  <c r="BC15" i="25" s="1"/>
  <c r="AJ7" i="25"/>
  <c r="AV11" i="25"/>
  <c r="AV10" i="25"/>
  <c r="AX10" i="25" s="1"/>
  <c r="AF15" i="25"/>
  <c r="AB12" i="25"/>
  <c r="D7" i="16"/>
  <c r="AB10" i="25"/>
  <c r="X6" i="25"/>
  <c r="X15" i="2"/>
  <c r="AF10" i="2"/>
  <c r="X5" i="25"/>
  <c r="T13" i="25"/>
  <c r="AF8" i="2"/>
  <c r="AN15" i="2"/>
  <c r="AV12" i="2"/>
  <c r="BD15" i="2"/>
  <c r="T11" i="25"/>
  <c r="L13" i="2"/>
  <c r="AF7" i="2"/>
  <c r="AZ12" i="2"/>
  <c r="BD14" i="2"/>
  <c r="BD6" i="25"/>
  <c r="T6" i="2"/>
  <c r="P10" i="25"/>
  <c r="AV14" i="2"/>
  <c r="AB8" i="25"/>
  <c r="AV16" i="25"/>
  <c r="AB7" i="2"/>
  <c r="AF5" i="2"/>
  <c r="AN10" i="2"/>
  <c r="AN8" i="25"/>
  <c r="AV15" i="25"/>
  <c r="AX15" i="25" s="1"/>
  <c r="BD14" i="25"/>
  <c r="BG14" i="25" s="1"/>
  <c r="BD16" i="2"/>
  <c r="AF17" i="2"/>
  <c r="AZ16" i="25"/>
  <c r="BB16" i="25" s="1"/>
  <c r="P5" i="2"/>
  <c r="AJ5" i="2"/>
  <c r="AF6" i="2"/>
  <c r="AI6" i="2" s="1"/>
  <c r="AZ8" i="25"/>
  <c r="P8" i="2"/>
  <c r="AJ15" i="2"/>
  <c r="L10" i="25"/>
  <c r="P7" i="2"/>
  <c r="T5" i="2"/>
  <c r="L8" i="25"/>
  <c r="X4" i="25"/>
  <c r="AB13" i="25"/>
  <c r="AJ14" i="25"/>
  <c r="BD13" i="25"/>
  <c r="BG13" i="25" s="1"/>
  <c r="AZ14" i="25"/>
  <c r="BC14" i="25" s="1"/>
  <c r="P10" i="2"/>
  <c r="AJ17" i="2"/>
  <c r="AZ7" i="25"/>
  <c r="AJ16" i="2"/>
  <c r="L7" i="25"/>
  <c r="AN4" i="25"/>
  <c r="AP4" i="25" s="1"/>
  <c r="AQ4" i="25" s="1"/>
  <c r="T17" i="2"/>
  <c r="X16" i="2"/>
  <c r="AB5" i="2"/>
  <c r="T12" i="25"/>
  <c r="X16" i="25"/>
  <c r="P17" i="2"/>
  <c r="P16" i="25"/>
  <c r="R16" i="25" s="1"/>
  <c r="AB7" i="25"/>
  <c r="AB14" i="2"/>
  <c r="AF13" i="2"/>
  <c r="AF14" i="25"/>
  <c r="AV5" i="25"/>
  <c r="AV11" i="2"/>
  <c r="P8" i="25"/>
  <c r="P16" i="2"/>
  <c r="T15" i="2"/>
  <c r="T15" i="25"/>
  <c r="AB14" i="25"/>
  <c r="AB13" i="2"/>
  <c r="AF6" i="25"/>
  <c r="AF12" i="2"/>
  <c r="BD8" i="2"/>
  <c r="BD12" i="25"/>
  <c r="T16" i="2"/>
  <c r="T8" i="25"/>
  <c r="AJ12" i="2"/>
  <c r="AJ6" i="25"/>
  <c r="AZ13" i="25"/>
  <c r="BB13" i="25" s="1"/>
  <c r="AZ10" i="2"/>
  <c r="X7" i="25"/>
  <c r="X14" i="2"/>
  <c r="AJ11" i="2"/>
  <c r="AJ5" i="25"/>
  <c r="P7" i="25"/>
  <c r="P14" i="2"/>
  <c r="T12" i="2"/>
  <c r="T6" i="25"/>
  <c r="BD6" i="2"/>
  <c r="BF6" i="2" s="1"/>
  <c r="T11" i="2"/>
  <c r="T5" i="25"/>
  <c r="V5" i="25" s="1"/>
  <c r="AN10" i="25"/>
  <c r="AN6" i="2"/>
  <c r="AJ11" i="25"/>
  <c r="P15" i="2"/>
  <c r="P15" i="25"/>
  <c r="S15" i="25" s="1"/>
  <c r="X13" i="2"/>
  <c r="T7" i="25"/>
  <c r="P13" i="2"/>
  <c r="P14" i="25"/>
  <c r="AN12" i="25"/>
  <c r="AN8" i="2"/>
  <c r="AJ13" i="25"/>
  <c r="L4" i="25"/>
  <c r="N4" i="25" s="1"/>
  <c r="L5" i="2"/>
  <c r="AN11" i="25"/>
  <c r="AN7" i="2"/>
  <c r="AJ12" i="25"/>
  <c r="AZ5" i="2"/>
  <c r="AZ4" i="25"/>
  <c r="BC4" i="25" s="1"/>
  <c r="X10" i="2"/>
  <c r="Z10" i="2" s="1"/>
  <c r="AB6" i="25"/>
  <c r="AF5" i="25"/>
  <c r="BD4" i="25"/>
  <c r="BG4" i="25" s="1"/>
  <c r="D13" i="16"/>
  <c r="D7" i="2"/>
  <c r="S4" i="25"/>
  <c r="AB11" i="2"/>
  <c r="AB16" i="25"/>
  <c r="AB17" i="2"/>
  <c r="AE17" i="2" s="1"/>
  <c r="AF8" i="25"/>
  <c r="AF16" i="2"/>
  <c r="AN14" i="2"/>
  <c r="AZ8" i="2"/>
  <c r="T14" i="25"/>
  <c r="W14" i="25" s="1"/>
  <c r="BD11" i="25"/>
  <c r="BD5" i="25"/>
  <c r="BD11" i="2"/>
  <c r="AN13" i="2"/>
  <c r="AZ7" i="2"/>
  <c r="P6" i="25"/>
  <c r="AB15" i="25"/>
  <c r="AB15" i="2"/>
  <c r="AF7" i="25"/>
  <c r="AF14" i="2"/>
  <c r="AN12" i="2"/>
  <c r="AZ6" i="2"/>
  <c r="D6" i="16"/>
  <c r="AE4" i="25"/>
  <c r="AL4" i="25"/>
  <c r="AM4" i="25" s="1"/>
  <c r="X8" i="2"/>
  <c r="X7" i="2"/>
  <c r="Z7" i="2" s="1"/>
  <c r="H6" i="2"/>
  <c r="J6" i="2" s="1"/>
  <c r="X6" i="2"/>
  <c r="V4" i="25"/>
  <c r="D11" i="16"/>
  <c r="D5" i="16"/>
  <c r="D14" i="16"/>
  <c r="D4" i="16"/>
  <c r="AD4" i="25"/>
  <c r="AT4" i="25"/>
  <c r="AH4" i="25"/>
  <c r="W4" i="25"/>
  <c r="R4" i="25"/>
  <c r="H19" i="3"/>
  <c r="H17" i="3"/>
  <c r="H12" i="3"/>
  <c r="H11" i="3"/>
  <c r="H9" i="3"/>
  <c r="H8" i="3"/>
  <c r="F19" i="3"/>
  <c r="F18" i="3"/>
  <c r="F15" i="3"/>
  <c r="F17" i="3"/>
  <c r="F16" i="3"/>
  <c r="BG15" i="25"/>
  <c r="F7" i="3"/>
  <c r="G6" i="3"/>
  <c r="G20" i="3"/>
  <c r="H18" i="2" s="1"/>
  <c r="G18" i="3"/>
  <c r="G16" i="3"/>
  <c r="G15" i="3"/>
  <c r="G14" i="3"/>
  <c r="G19" i="3"/>
  <c r="G17" i="3"/>
  <c r="F6" i="3"/>
  <c r="BG10" i="25"/>
  <c r="F20" i="3"/>
  <c r="D18" i="2" s="1"/>
  <c r="F14" i="3"/>
  <c r="G12" i="3"/>
  <c r="F12" i="3"/>
  <c r="G11" i="3"/>
  <c r="F11" i="3"/>
  <c r="G10" i="3"/>
  <c r="F10" i="3"/>
  <c r="G9" i="3"/>
  <c r="F9" i="3"/>
  <c r="G8" i="3"/>
  <c r="S12" i="25"/>
  <c r="BF7" i="25"/>
  <c r="V9" i="2"/>
  <c r="AE10" i="2"/>
  <c r="AU7" i="12"/>
  <c r="Z17" i="2"/>
  <c r="V18" i="2"/>
  <c r="V10" i="2"/>
  <c r="W13" i="2"/>
  <c r="Z11" i="2"/>
  <c r="AE18" i="2"/>
  <c r="AE9" i="2"/>
  <c r="BG9" i="2"/>
  <c r="AI9" i="2"/>
  <c r="AV18" i="12"/>
  <c r="AH18" i="2"/>
  <c r="AV8" i="12"/>
  <c r="AP15" i="25"/>
  <c r="AQ15" i="25" s="1"/>
  <c r="AU19" i="12"/>
  <c r="AA9" i="2"/>
  <c r="BB11" i="25"/>
  <c r="AU11" i="12"/>
  <c r="AX9" i="2"/>
  <c r="AP17" i="2"/>
  <c r="AU6" i="12"/>
  <c r="AU9" i="12"/>
  <c r="AV20" i="12"/>
  <c r="AD12" i="2"/>
  <c r="BB9" i="2"/>
  <c r="AU17" i="12"/>
  <c r="BG18" i="2"/>
  <c r="AY8" i="2"/>
  <c r="AU13" i="12"/>
  <c r="AU14" i="12"/>
  <c r="AV5" i="12"/>
  <c r="AU15" i="12"/>
  <c r="AV10" i="12"/>
  <c r="D19" i="25"/>
  <c r="D20" i="25"/>
  <c r="AX13" i="2"/>
  <c r="AU18" i="2"/>
  <c r="AU8" i="25"/>
  <c r="AU8" i="2"/>
  <c r="AT16" i="2"/>
  <c r="AE6" i="2"/>
  <c r="AT15" i="2"/>
  <c r="AU14" i="25"/>
  <c r="J10" i="25"/>
  <c r="AA18" i="2"/>
  <c r="BB16" i="2"/>
  <c r="K10" i="25"/>
  <c r="AV12" i="12"/>
  <c r="AV13" i="12"/>
  <c r="AV17" i="12"/>
  <c r="AX15" i="2"/>
  <c r="AV14" i="12"/>
  <c r="AU5" i="12"/>
  <c r="AU8" i="12"/>
  <c r="AV15" i="12"/>
  <c r="AU18" i="12"/>
  <c r="AV6" i="12"/>
  <c r="AV16" i="12"/>
  <c r="AV9" i="12"/>
  <c r="AT16" i="25"/>
  <c r="AT10" i="2"/>
  <c r="AU6" i="25"/>
  <c r="AT12" i="25"/>
  <c r="AU11" i="2"/>
  <c r="AT6" i="2"/>
  <c r="AT15" i="25"/>
  <c r="AU5" i="25"/>
  <c r="AT11" i="25"/>
  <c r="AT9" i="2"/>
  <c r="AT14" i="2"/>
  <c r="AU10" i="25"/>
  <c r="AT5" i="2"/>
  <c r="AU5" i="2"/>
  <c r="AU7" i="2"/>
  <c r="AT7" i="2"/>
  <c r="AY15" i="2"/>
  <c r="AU12" i="2"/>
  <c r="AT12" i="2"/>
  <c r="Z18" i="2"/>
  <c r="AT13" i="2"/>
  <c r="AU17" i="2"/>
  <c r="AU12" i="12"/>
  <c r="AV19" i="12"/>
  <c r="AT7" i="25"/>
  <c r="AL9" i="2"/>
  <c r="AV7" i="12"/>
  <c r="AU16" i="12"/>
  <c r="AU13" i="25"/>
  <c r="AT13" i="25"/>
  <c r="H3" i="16"/>
  <c r="AV11" i="12"/>
  <c r="AU10" i="12"/>
  <c r="AU20" i="12"/>
  <c r="S9" i="2"/>
  <c r="AP9" i="2"/>
  <c r="AX4" i="25" l="1"/>
  <c r="AY4" i="25"/>
  <c r="V11" i="2"/>
  <c r="C4" i="16"/>
  <c r="Z4" i="25"/>
  <c r="AA4" i="25"/>
  <c r="C11" i="16"/>
  <c r="C8" i="16"/>
  <c r="C5" i="16"/>
  <c r="C12" i="16"/>
  <c r="J12" i="16" s="1"/>
  <c r="BB12" i="2"/>
  <c r="BB8" i="25"/>
  <c r="BC8" i="25"/>
  <c r="BB4" i="25"/>
  <c r="AI5" i="2"/>
  <c r="H13" i="25"/>
  <c r="H10" i="2"/>
  <c r="J10" i="2" s="1"/>
  <c r="D11" i="2"/>
  <c r="D5" i="25"/>
  <c r="D10" i="25"/>
  <c r="D6" i="2"/>
  <c r="H11" i="2"/>
  <c r="H5" i="25"/>
  <c r="D15" i="2"/>
  <c r="G15" i="2" s="1"/>
  <c r="D15" i="25"/>
  <c r="F15" i="25" s="1"/>
  <c r="D17" i="2"/>
  <c r="F17" i="2" s="1"/>
  <c r="D16" i="25"/>
  <c r="G16" i="25" s="1"/>
  <c r="O4" i="25"/>
  <c r="H11" i="25"/>
  <c r="H7" i="2"/>
  <c r="H16" i="25"/>
  <c r="H17" i="2"/>
  <c r="H12" i="25"/>
  <c r="H8" i="2"/>
  <c r="L16" i="25"/>
  <c r="L17" i="2"/>
  <c r="H5" i="2"/>
  <c r="H4" i="25"/>
  <c r="D12" i="2"/>
  <c r="D6" i="25"/>
  <c r="D14" i="2"/>
  <c r="D7" i="25"/>
  <c r="G7" i="25" s="1"/>
  <c r="D5" i="2"/>
  <c r="D4" i="25"/>
  <c r="D13" i="2"/>
  <c r="D14" i="25"/>
  <c r="D16" i="2"/>
  <c r="D8" i="25"/>
  <c r="G8" i="25" s="1"/>
  <c r="H15" i="2"/>
  <c r="H15" i="25"/>
  <c r="D12" i="25"/>
  <c r="D8" i="2"/>
  <c r="L11" i="25"/>
  <c r="L7" i="2"/>
  <c r="H6" i="25"/>
  <c r="H12" i="2"/>
  <c r="L8" i="2"/>
  <c r="O8" i="2" s="1"/>
  <c r="L12" i="25"/>
  <c r="N12" i="25" s="1"/>
  <c r="BF4" i="25"/>
  <c r="D9" i="2"/>
  <c r="G9" i="2" s="1"/>
  <c r="H14" i="25"/>
  <c r="H13" i="2"/>
  <c r="L13" i="25"/>
  <c r="L10" i="2"/>
  <c r="H9" i="2"/>
  <c r="K9" i="2" s="1"/>
  <c r="H7" i="25"/>
  <c r="H14" i="2"/>
  <c r="L5" i="25"/>
  <c r="L11" i="2"/>
  <c r="C13" i="16" s="1"/>
  <c r="D10" i="2"/>
  <c r="D13" i="25"/>
  <c r="H8" i="25"/>
  <c r="H16" i="2"/>
  <c r="L15" i="25"/>
  <c r="N15" i="25" s="1"/>
  <c r="L15" i="2"/>
  <c r="O15" i="2" s="1"/>
  <c r="W18" i="2"/>
  <c r="W11" i="2"/>
  <c r="AH9" i="2"/>
  <c r="W9" i="2"/>
  <c r="BF10" i="25"/>
  <c r="BB14" i="25"/>
  <c r="V15" i="2"/>
  <c r="V13" i="2"/>
  <c r="AX14" i="25"/>
  <c r="BC15" i="2"/>
  <c r="BB15" i="25"/>
  <c r="BC13" i="2"/>
  <c r="R17" i="2"/>
  <c r="BF15" i="25"/>
  <c r="R15" i="2"/>
  <c r="BF9" i="2"/>
  <c r="R15" i="25"/>
  <c r="BF15" i="2"/>
  <c r="V12" i="25"/>
  <c r="AA10" i="25"/>
  <c r="AE12" i="25"/>
  <c r="BC9" i="2"/>
  <c r="AL15" i="25"/>
  <c r="AM15" i="25" s="1"/>
  <c r="R8" i="2"/>
  <c r="V16" i="25"/>
  <c r="W10" i="2"/>
  <c r="AH5" i="2"/>
  <c r="W15" i="25"/>
  <c r="W11" i="25"/>
  <c r="Z6" i="25"/>
  <c r="AH10" i="2"/>
  <c r="AI7" i="25"/>
  <c r="AH11" i="25"/>
  <c r="AL16" i="25"/>
  <c r="AM16" i="25" s="1"/>
  <c r="AA16" i="25"/>
  <c r="W8" i="25"/>
  <c r="AD15" i="25"/>
  <c r="AD11" i="2"/>
  <c r="V10" i="25"/>
  <c r="AH5" i="25"/>
  <c r="AI15" i="25"/>
  <c r="W6" i="25"/>
  <c r="AD7" i="25"/>
  <c r="AA5" i="25"/>
  <c r="AD6" i="25"/>
  <c r="V17" i="2"/>
  <c r="AI18" i="2"/>
  <c r="AE5" i="25"/>
  <c r="AP5" i="25"/>
  <c r="AQ5" i="25" s="1"/>
  <c r="AI13" i="25"/>
  <c r="AH8" i="25"/>
  <c r="Z14" i="25"/>
  <c r="BF10" i="2"/>
  <c r="AD17" i="2"/>
  <c r="AE14" i="2"/>
  <c r="AI16" i="25"/>
  <c r="AI10" i="25"/>
  <c r="AD10" i="25"/>
  <c r="AA15" i="25"/>
  <c r="AD8" i="2"/>
  <c r="V8" i="2"/>
  <c r="AD5" i="2"/>
  <c r="AA17" i="2"/>
  <c r="AA12" i="25"/>
  <c r="AX8" i="2"/>
  <c r="AE7" i="2"/>
  <c r="K6" i="2"/>
  <c r="R12" i="25"/>
  <c r="BG16" i="25"/>
  <c r="R5" i="25"/>
  <c r="S16" i="25"/>
  <c r="AY15" i="25"/>
  <c r="BG7" i="25"/>
  <c r="AL8" i="2"/>
  <c r="AM8" i="2" s="1"/>
  <c r="AY9" i="2"/>
  <c r="BF18" i="2"/>
  <c r="V16" i="2"/>
  <c r="BC12" i="2"/>
  <c r="AA10" i="2"/>
  <c r="AH7" i="2"/>
  <c r="AE12" i="2"/>
  <c r="AE16" i="25"/>
  <c r="BC11" i="25"/>
  <c r="BF13" i="25"/>
  <c r="BC16" i="25"/>
  <c r="AD10" i="2"/>
  <c r="AA7" i="2"/>
  <c r="AY10" i="25"/>
  <c r="AD9" i="2"/>
  <c r="Z11" i="25"/>
  <c r="AA13" i="2"/>
  <c r="V7" i="2"/>
  <c r="AA13" i="25"/>
  <c r="AD18" i="2"/>
  <c r="BC13" i="25"/>
  <c r="AI11" i="2"/>
  <c r="Z9" i="2"/>
  <c r="AP15" i="2"/>
  <c r="AQ15" i="2" s="1"/>
  <c r="AA11" i="2"/>
  <c r="AY13" i="2"/>
  <c r="AX12" i="25"/>
  <c r="AD6" i="2"/>
  <c r="BB11" i="2"/>
  <c r="AP11" i="2"/>
  <c r="BF14" i="25"/>
  <c r="BC6" i="25"/>
  <c r="AL17" i="2"/>
  <c r="AL15" i="2"/>
  <c r="BB10" i="2"/>
  <c r="AP12" i="25"/>
  <c r="AQ12" i="25" s="1"/>
  <c r="AP8" i="2"/>
  <c r="AQ8" i="2" s="1"/>
  <c r="AL11" i="2"/>
  <c r="AY6" i="2"/>
  <c r="BG6" i="2"/>
  <c r="AP16" i="25"/>
  <c r="AQ16" i="25" s="1"/>
  <c r="AH6" i="2"/>
  <c r="W5" i="25"/>
  <c r="V14" i="25"/>
  <c r="BC16" i="2"/>
  <c r="AQ17" i="2"/>
  <c r="AM9" i="2"/>
  <c r="AQ9" i="2"/>
  <c r="AP10" i="25"/>
  <c r="AQ10" i="25" s="1"/>
  <c r="AP6" i="2"/>
  <c r="AL5" i="2"/>
  <c r="AL13" i="2"/>
  <c r="AP7" i="25"/>
  <c r="AQ7" i="25" s="1"/>
  <c r="AP14" i="2"/>
  <c r="J14" i="16"/>
  <c r="AL7" i="2"/>
  <c r="O9" i="2"/>
  <c r="N9" i="2"/>
  <c r="R9" i="2"/>
  <c r="AP8" i="25"/>
  <c r="AQ8" i="25" s="1"/>
  <c r="AP16" i="2"/>
  <c r="AL10" i="2"/>
  <c r="AL14" i="2"/>
  <c r="AP14" i="25"/>
  <c r="AQ14" i="25" s="1"/>
  <c r="AP13" i="2"/>
  <c r="AP13" i="25"/>
  <c r="AQ13" i="25" s="1"/>
  <c r="AP10" i="2"/>
  <c r="AL8" i="25"/>
  <c r="AM8" i="25" s="1"/>
  <c r="AL16" i="2"/>
  <c r="AP6" i="25"/>
  <c r="AQ6" i="25" s="1"/>
  <c r="AL18" i="2"/>
  <c r="AP18" i="2"/>
  <c r="AP11" i="25"/>
  <c r="AQ11" i="25" s="1"/>
  <c r="AP7" i="2"/>
  <c r="AL6" i="2"/>
  <c r="C7" i="16" l="1"/>
  <c r="E7" i="16" s="1"/>
  <c r="F7" i="16" s="1"/>
  <c r="I7" i="16" s="1"/>
  <c r="K13" i="25"/>
  <c r="J13" i="25"/>
  <c r="F16" i="2"/>
  <c r="G16" i="2"/>
  <c r="F8" i="25"/>
  <c r="C6" i="16"/>
  <c r="O15" i="25"/>
  <c r="F9" i="2"/>
  <c r="G4" i="25"/>
  <c r="F4" i="25"/>
  <c r="O12" i="25"/>
  <c r="F15" i="2"/>
  <c r="F16" i="25"/>
  <c r="G15" i="25"/>
  <c r="K4" i="25"/>
  <c r="J4" i="25"/>
  <c r="F7" i="25"/>
  <c r="J9" i="2"/>
  <c r="F14" i="16"/>
  <c r="I14" i="16" s="1"/>
  <c r="N8" i="2"/>
  <c r="V5" i="2"/>
  <c r="BB13" i="2"/>
  <c r="W15" i="2"/>
  <c r="Z10" i="25"/>
  <c r="Z5" i="25"/>
  <c r="S15" i="2"/>
  <c r="S17" i="2"/>
  <c r="BB15" i="2"/>
  <c r="W12" i="25"/>
  <c r="AA14" i="25"/>
  <c r="V15" i="25"/>
  <c r="AE10" i="25"/>
  <c r="AH10" i="25"/>
  <c r="V6" i="25"/>
  <c r="V8" i="25"/>
  <c r="AD12" i="25"/>
  <c r="AE15" i="25"/>
  <c r="N15" i="2"/>
  <c r="AA6" i="25"/>
  <c r="AI10" i="2"/>
  <c r="AE11" i="2"/>
  <c r="BG10" i="2"/>
  <c r="W10" i="25"/>
  <c r="BG15" i="2"/>
  <c r="F5" i="2"/>
  <c r="G5" i="2"/>
  <c r="W16" i="25"/>
  <c r="AH13" i="25"/>
  <c r="AE5" i="2"/>
  <c r="C10" i="16" s="1"/>
  <c r="W5" i="2"/>
  <c r="V11" i="25"/>
  <c r="W8" i="2"/>
  <c r="AD7" i="2"/>
  <c r="AD14" i="2"/>
  <c r="W17" i="2"/>
  <c r="AI5" i="25"/>
  <c r="AI11" i="25"/>
  <c r="S11" i="2"/>
  <c r="R11" i="2"/>
  <c r="Z16" i="25"/>
  <c r="AH7" i="25"/>
  <c r="S8" i="2"/>
  <c r="AE6" i="25"/>
  <c r="Z12" i="25"/>
  <c r="AE7" i="25"/>
  <c r="AH15" i="25"/>
  <c r="AE8" i="2"/>
  <c r="Z15" i="25"/>
  <c r="AD15" i="2"/>
  <c r="AE15" i="2"/>
  <c r="AH16" i="25"/>
  <c r="AD5" i="25"/>
  <c r="BF17" i="2"/>
  <c r="BG17" i="2"/>
  <c r="AE11" i="25"/>
  <c r="AD11" i="25"/>
  <c r="AI8" i="25"/>
  <c r="AH17" i="2"/>
  <c r="AI17" i="2"/>
  <c r="AH11" i="2"/>
  <c r="AQ11" i="2"/>
  <c r="AD16" i="25"/>
  <c r="Z13" i="2"/>
  <c r="BG14" i="2"/>
  <c r="BF14" i="2"/>
  <c r="W16" i="2"/>
  <c r="Z8" i="2"/>
  <c r="AA8" i="2"/>
  <c r="AM11" i="2"/>
  <c r="AI7" i="2"/>
  <c r="Z13" i="25"/>
  <c r="AA11" i="25"/>
  <c r="V12" i="2"/>
  <c r="W12" i="2"/>
  <c r="AI15" i="2"/>
  <c r="AH15" i="2"/>
  <c r="AE13" i="25"/>
  <c r="AD13" i="25"/>
  <c r="AA5" i="2"/>
  <c r="Z5" i="2"/>
  <c r="W7" i="2"/>
  <c r="W13" i="25"/>
  <c r="V13" i="25"/>
  <c r="G17" i="2"/>
  <c r="W6" i="2"/>
  <c r="V6" i="2"/>
  <c r="BB6" i="25"/>
  <c r="AM17" i="2"/>
  <c r="AD13" i="2"/>
  <c r="AE13" i="2"/>
  <c r="AD14" i="25"/>
  <c r="AE14" i="25"/>
  <c r="Z15" i="2"/>
  <c r="AA15" i="2"/>
  <c r="Z12" i="2"/>
  <c r="AA12" i="2"/>
  <c r="AD16" i="2"/>
  <c r="AE16" i="2"/>
  <c r="AE8" i="25"/>
  <c r="AD8" i="25"/>
  <c r="G14" i="2"/>
  <c r="F14" i="2"/>
  <c r="AY12" i="25"/>
  <c r="BC10" i="2"/>
  <c r="BF7" i="2"/>
  <c r="BG7" i="2"/>
  <c r="V7" i="25"/>
  <c r="W7" i="25"/>
  <c r="AH14" i="2"/>
  <c r="AI14" i="2"/>
  <c r="BG11" i="25"/>
  <c r="BF11" i="25"/>
  <c r="V14" i="2"/>
  <c r="W14" i="2"/>
  <c r="BB18" i="2"/>
  <c r="BC18" i="2"/>
  <c r="K10" i="2"/>
  <c r="BB7" i="2"/>
  <c r="BC7" i="2"/>
  <c r="BG5" i="2"/>
  <c r="BF5" i="2"/>
  <c r="N16" i="25"/>
  <c r="O16" i="25"/>
  <c r="BG16" i="2"/>
  <c r="BF16" i="2"/>
  <c r="BG13" i="2"/>
  <c r="BF13" i="2"/>
  <c r="O17" i="2"/>
  <c r="N17" i="2"/>
  <c r="BG8" i="25"/>
  <c r="BF8" i="25"/>
  <c r="J15" i="2"/>
  <c r="K15" i="2"/>
  <c r="BF5" i="25"/>
  <c r="BG5" i="25"/>
  <c r="BG11" i="2"/>
  <c r="BF11" i="2"/>
  <c r="K15" i="25"/>
  <c r="J15" i="25"/>
  <c r="BF8" i="2"/>
  <c r="BG8" i="2"/>
  <c r="O11" i="2"/>
  <c r="N11" i="2"/>
  <c r="BG12" i="2"/>
  <c r="BF12" i="2"/>
  <c r="BF12" i="25"/>
  <c r="BG12" i="25"/>
  <c r="N5" i="25"/>
  <c r="O5" i="25"/>
  <c r="BG6" i="25"/>
  <c r="BF6" i="25"/>
  <c r="Z6" i="2"/>
  <c r="AA6" i="2"/>
  <c r="AH12" i="25"/>
  <c r="AI12" i="25"/>
  <c r="AM15" i="2"/>
  <c r="Z14" i="2"/>
  <c r="AA14" i="2"/>
  <c r="Z7" i="25"/>
  <c r="AA7" i="25"/>
  <c r="AH16" i="2"/>
  <c r="AI16" i="2"/>
  <c r="BC5" i="25"/>
  <c r="BB5" i="25"/>
  <c r="AH8" i="2"/>
  <c r="AI8" i="2"/>
  <c r="K11" i="2"/>
  <c r="J11" i="2"/>
  <c r="BB5" i="2"/>
  <c r="BC5" i="2"/>
  <c r="J8" i="2"/>
  <c r="K8" i="2"/>
  <c r="F8" i="2"/>
  <c r="G8" i="2"/>
  <c r="K12" i="25"/>
  <c r="J12" i="25"/>
  <c r="F12" i="25"/>
  <c r="G12" i="25"/>
  <c r="AX12" i="2"/>
  <c r="AY12" i="2"/>
  <c r="BB14" i="2"/>
  <c r="BC14" i="2"/>
  <c r="AX6" i="25"/>
  <c r="AY6" i="25"/>
  <c r="BB7" i="25"/>
  <c r="BC7" i="25"/>
  <c r="AX5" i="25"/>
  <c r="AY5" i="25"/>
  <c r="K17" i="2"/>
  <c r="J17" i="2"/>
  <c r="K12" i="2"/>
  <c r="J12" i="2"/>
  <c r="J7" i="2"/>
  <c r="K7" i="2"/>
  <c r="BB12" i="25"/>
  <c r="BC12" i="25"/>
  <c r="K16" i="25"/>
  <c r="J16" i="25"/>
  <c r="K11" i="25"/>
  <c r="J11" i="25"/>
  <c r="BB8" i="2"/>
  <c r="BC8" i="2"/>
  <c r="AX6" i="2"/>
  <c r="BC17" i="2"/>
  <c r="BB17" i="2"/>
  <c r="G18" i="2"/>
  <c r="F18" i="2"/>
  <c r="AX17" i="2"/>
  <c r="AY17" i="2"/>
  <c r="BC6" i="2"/>
  <c r="BB6" i="2"/>
  <c r="G11" i="2"/>
  <c r="F11" i="2"/>
  <c r="AX11" i="2"/>
  <c r="AY11" i="2"/>
  <c r="AY16" i="25"/>
  <c r="AX16" i="25"/>
  <c r="BC10" i="25"/>
  <c r="BB10" i="25"/>
  <c r="F5" i="25"/>
  <c r="G5" i="25"/>
  <c r="K5" i="2"/>
  <c r="J5" i="2"/>
  <c r="J6" i="25"/>
  <c r="K6" i="25"/>
  <c r="K5" i="25"/>
  <c r="J5" i="25"/>
  <c r="AX10" i="2"/>
  <c r="AY10" i="2"/>
  <c r="AX16" i="2"/>
  <c r="AY16" i="2"/>
  <c r="AM5" i="2"/>
  <c r="C9" i="16" s="1"/>
  <c r="AM18" i="2"/>
  <c r="AP12" i="2"/>
  <c r="AY13" i="25"/>
  <c r="AX13" i="25"/>
  <c r="AI12" i="2"/>
  <c r="AH12" i="2"/>
  <c r="AY8" i="25"/>
  <c r="AX8" i="25"/>
  <c r="O18" i="2"/>
  <c r="N18" i="2"/>
  <c r="AI6" i="25"/>
  <c r="AH6" i="25"/>
  <c r="AI13" i="2"/>
  <c r="AH13" i="2"/>
  <c r="S5" i="2"/>
  <c r="R5" i="2"/>
  <c r="AY14" i="2"/>
  <c r="AX14" i="2"/>
  <c r="O7" i="2"/>
  <c r="N7" i="2"/>
  <c r="K7" i="25"/>
  <c r="J7" i="25"/>
  <c r="O10" i="2"/>
  <c r="N10" i="2"/>
  <c r="K18" i="2"/>
  <c r="J18" i="2"/>
  <c r="O5" i="2"/>
  <c r="N5" i="2"/>
  <c r="R18" i="2"/>
  <c r="S18" i="2"/>
  <c r="G12" i="2"/>
  <c r="F12" i="2"/>
  <c r="AI14" i="25"/>
  <c r="AH14" i="25"/>
  <c r="AY7" i="25"/>
  <c r="AX7" i="25"/>
  <c r="O11" i="25"/>
  <c r="N11" i="25"/>
  <c r="O13" i="25"/>
  <c r="N13" i="25"/>
  <c r="G13" i="2"/>
  <c r="F13" i="2"/>
  <c r="G6" i="25"/>
  <c r="F6" i="25"/>
  <c r="S14" i="2"/>
  <c r="R14" i="2"/>
  <c r="G7" i="2"/>
  <c r="F7" i="2"/>
  <c r="O16" i="2"/>
  <c r="N16" i="2"/>
  <c r="K14" i="2"/>
  <c r="J14" i="2"/>
  <c r="S14" i="25"/>
  <c r="R14" i="25"/>
  <c r="G11" i="25"/>
  <c r="F11" i="25"/>
  <c r="O8" i="25"/>
  <c r="N8" i="25"/>
  <c r="AQ18" i="2"/>
  <c r="AL12" i="2"/>
  <c r="S10" i="25"/>
  <c r="R10" i="25"/>
  <c r="K8" i="25"/>
  <c r="J8" i="25"/>
  <c r="O13" i="2"/>
  <c r="N13" i="2"/>
  <c r="O14" i="25"/>
  <c r="N14" i="25"/>
  <c r="N12" i="2"/>
  <c r="O12" i="2"/>
  <c r="G10" i="2"/>
  <c r="F10" i="2"/>
  <c r="G6" i="2"/>
  <c r="F6" i="2"/>
  <c r="S6" i="2"/>
  <c r="R6" i="2"/>
  <c r="K14" i="25"/>
  <c r="J14" i="25"/>
  <c r="AQ7" i="2"/>
  <c r="S7" i="2"/>
  <c r="R7" i="2"/>
  <c r="S7" i="25"/>
  <c r="R7" i="25"/>
  <c r="S11" i="25"/>
  <c r="R11" i="25"/>
  <c r="AM6" i="2"/>
  <c r="S6" i="25"/>
  <c r="R6" i="25"/>
  <c r="AQ13" i="2"/>
  <c r="O6" i="25"/>
  <c r="N6" i="25"/>
  <c r="G13" i="25"/>
  <c r="F13" i="25"/>
  <c r="AM10" i="2"/>
  <c r="G10" i="25"/>
  <c r="F10" i="25"/>
  <c r="AA16" i="2"/>
  <c r="Z16" i="2"/>
  <c r="O6" i="2"/>
  <c r="N6" i="2"/>
  <c r="AQ6" i="2"/>
  <c r="O14" i="2"/>
  <c r="N14" i="2"/>
  <c r="AM16" i="2"/>
  <c r="G14" i="25"/>
  <c r="F14" i="25"/>
  <c r="S12" i="2"/>
  <c r="R12" i="2"/>
  <c r="AY5" i="2"/>
  <c r="AX5" i="2"/>
  <c r="S16" i="2"/>
  <c r="R16" i="2"/>
  <c r="AQ16" i="2"/>
  <c r="AM7" i="2"/>
  <c r="AA8" i="25"/>
  <c r="Z8" i="25"/>
  <c r="O10" i="25"/>
  <c r="N10" i="25"/>
  <c r="O7" i="25"/>
  <c r="N7" i="25"/>
  <c r="S8" i="25"/>
  <c r="R8" i="25"/>
  <c r="AQ14" i="2"/>
  <c r="AM13" i="2"/>
  <c r="S13" i="25"/>
  <c r="R13" i="25"/>
  <c r="K16" i="2"/>
  <c r="J16" i="2"/>
  <c r="S13" i="2"/>
  <c r="R13" i="2"/>
  <c r="AY7" i="2"/>
  <c r="AX7" i="2"/>
  <c r="AY11" i="25"/>
  <c r="AX11" i="25"/>
  <c r="S10" i="2"/>
  <c r="R10" i="2"/>
  <c r="AP5" i="2"/>
  <c r="K13" i="2"/>
  <c r="J13" i="2"/>
  <c r="AQ10" i="2"/>
  <c r="AM14" i="2"/>
  <c r="AY18" i="2"/>
  <c r="AX18" i="2"/>
  <c r="E14" i="16" l="1"/>
  <c r="BG19" i="2"/>
  <c r="E4" i="16"/>
  <c r="F4" i="16" s="1"/>
  <c r="I4" i="16" s="1"/>
  <c r="J4" i="16"/>
  <c r="J5" i="16"/>
  <c r="E5" i="16"/>
  <c r="F5" i="16" s="1"/>
  <c r="I5" i="16" s="1"/>
  <c r="AL7" i="25"/>
  <c r="AM7" i="25" s="1"/>
  <c r="AL5" i="25"/>
  <c r="AM5" i="25" s="1"/>
  <c r="AL12" i="25"/>
  <c r="AM12" i="25" s="1"/>
  <c r="J7" i="16"/>
  <c r="J6" i="16"/>
  <c r="E6" i="16"/>
  <c r="F6" i="16" s="1"/>
  <c r="I6" i="16" s="1"/>
  <c r="AQ12" i="2"/>
  <c r="J8" i="16"/>
  <c r="E8" i="16"/>
  <c r="F8" i="16" s="1"/>
  <c r="I8" i="16" s="1"/>
  <c r="J11" i="16"/>
  <c r="E11" i="16"/>
  <c r="F11" i="16" s="1"/>
  <c r="I11" i="16" s="1"/>
  <c r="J10" i="16"/>
  <c r="E10" i="16"/>
  <c r="F10" i="16" s="1"/>
  <c r="I10" i="16" s="1"/>
  <c r="AM12" i="2"/>
  <c r="J9" i="16"/>
  <c r="E9" i="16"/>
  <c r="F9" i="16" s="1"/>
  <c r="I9" i="16" s="1"/>
  <c r="J13" i="16"/>
  <c r="E13" i="16"/>
  <c r="F13" i="16" s="1"/>
  <c r="I13" i="16" s="1"/>
  <c r="AL11" i="25"/>
  <c r="AM11" i="25" s="1"/>
  <c r="AQ5" i="2"/>
  <c r="AL13" i="25"/>
  <c r="AM13" i="25" s="1"/>
  <c r="AL10" i="25"/>
  <c r="AM10" i="25" s="1"/>
  <c r="AL14" i="25"/>
  <c r="AM14" i="25" s="1"/>
  <c r="AL6" i="25"/>
  <c r="AM6" i="25" s="1"/>
  <c r="I15" i="16" l="1"/>
</calcChain>
</file>

<file path=xl/sharedStrings.xml><?xml version="1.0" encoding="utf-8"?>
<sst xmlns="http://schemas.openxmlformats.org/spreadsheetml/2006/main" count="1008" uniqueCount="266">
  <si>
    <t>STT</t>
  </si>
  <si>
    <t>CHỈ TIÊU</t>
  </si>
  <si>
    <t>KH</t>
  </si>
  <si>
    <t>TB FTTH phát triển mới</t>
  </si>
  <si>
    <t>%</t>
  </si>
  <si>
    <t>Nhân viên nhận chỉ tiêu</t>
  </si>
  <si>
    <t xml:space="preserve">FTTH </t>
  </si>
  <si>
    <t xml:space="preserve">Mesh </t>
  </si>
  <si>
    <t>Camera</t>
  </si>
  <si>
    <t>Truyền hình số đôi dây</t>
  </si>
  <si>
    <t xml:space="preserve">Thuê bao trả sau </t>
  </si>
  <si>
    <t>Thuê bao thực 30D</t>
  </si>
  <si>
    <t>Gói 5G</t>
  </si>
  <si>
    <t>CĐT THS</t>
  </si>
  <si>
    <t>Rời mạng FTTH</t>
  </si>
  <si>
    <t>CƯỚC</t>
  </si>
  <si>
    <t>Khôi phục THS</t>
  </si>
  <si>
    <t>MyBox</t>
  </si>
  <si>
    <t>mykid</t>
  </si>
  <si>
    <t>Nguyễn Thị Huyền Thương</t>
  </si>
  <si>
    <t>Lê Trọng An</t>
  </si>
  <si>
    <t>Bùi Thu Hằng</t>
  </si>
  <si>
    <t>Bằng Trung Hiếu</t>
  </si>
  <si>
    <t>Nguyễn Thị Thu Phượng</t>
  </si>
  <si>
    <t>Trần Văn Hùng</t>
  </si>
  <si>
    <t>Nguyễn Thị Song Hương</t>
  </si>
  <si>
    <t>Vũ Thị Thu Hương</t>
  </si>
  <si>
    <t>Phạm Mỹ Linh</t>
  </si>
  <si>
    <t>Vũ Đức Nhuận</t>
  </si>
  <si>
    <t>Nguyễn Thành Long</t>
  </si>
  <si>
    <t>Đặng Thị Tám</t>
  </si>
  <si>
    <t>Trương Văn Sang</t>
  </si>
  <si>
    <t>Lê Thanh Sang</t>
  </si>
  <si>
    <t>Vòng Vĩnh Vân</t>
  </si>
  <si>
    <t>Nhân Viên</t>
  </si>
  <si>
    <t>Dịch vụ cố định</t>
  </si>
  <si>
    <t>Dịch vụ di động</t>
  </si>
  <si>
    <t>CHỈ TIÊU CƯỚC - CSKH</t>
  </si>
  <si>
    <t>CHƯƠNG TRÌNH TRỌNG ĐIỂM</t>
  </si>
  <si>
    <t>Nhân viên</t>
  </si>
  <si>
    <t>Supernet PTM</t>
  </si>
  <si>
    <t>Camera Đấu nối và bán đứt mua icloud</t>
  </si>
  <si>
    <t>THS Đôi dây PTM</t>
  </si>
  <si>
    <t>Thuê Bao trả sau</t>
  </si>
  <si>
    <t>Thuê bao GIC</t>
  </si>
  <si>
    <t>Thuê bao thực 4G</t>
  </si>
  <si>
    <t>Thuê bao mua gói 70K</t>
  </si>
  <si>
    <t>Thuê bao  5G</t>
  </si>
  <si>
    <t>Thuê bao standard</t>
  </si>
  <si>
    <t>CĐT FTTH</t>
  </si>
  <si>
    <t>CĐT Camera</t>
  </si>
  <si>
    <t>Rời mạng THS</t>
  </si>
  <si>
    <t>Cước N1- N3</t>
  </si>
  <si>
    <t>Trải nghiệm THS</t>
  </si>
  <si>
    <t>Thuê Bao mybox</t>
  </si>
  <si>
    <t>MYKID</t>
  </si>
  <si>
    <t>Chuấn hoá thông tin thuê bao</t>
  </si>
  <si>
    <t>Thuê bao Lk Epass cũ</t>
  </si>
  <si>
    <t>TH</t>
  </si>
  <si>
    <t>Thiếu</t>
  </si>
  <si>
    <t>còn được</t>
  </si>
  <si>
    <t>ĐẠT</t>
  </si>
  <si>
    <t>thiếu</t>
  </si>
  <si>
    <t>TUONGPK_LDG_CNKD</t>
  </si>
  <si>
    <t>CNKD_LDG_TUONGPK</t>
  </si>
  <si>
    <t>NGUYỄN VĂN BÌNh</t>
  </si>
  <si>
    <t>ANLT_LDG_CNKD</t>
  </si>
  <si>
    <t>CNKD_LDG_ANLT</t>
  </si>
  <si>
    <t>BINHLT_LDG_CNKD</t>
  </si>
  <si>
    <t>CNKD_LDG_BINHLT</t>
  </si>
  <si>
    <t>Đặng Thị Cẩm</t>
  </si>
  <si>
    <t>HANGBT_LDG_CNKD</t>
  </si>
  <si>
    <t>CNKD_LDG_HANGBT</t>
  </si>
  <si>
    <t>Trần Quốc Đạt</t>
  </si>
  <si>
    <t>HIEUBT_LDG_CNKD</t>
  </si>
  <si>
    <t>CNKD_LDG_HIEUBT</t>
  </si>
  <si>
    <t>Ngô Thị Điệp</t>
  </si>
  <si>
    <t>HUNGTV1_LDG_CNKD</t>
  </si>
  <si>
    <t>CNKD_LDG_HUNGTV1</t>
  </si>
  <si>
    <t>Hoàng Trung Đông</t>
  </si>
  <si>
    <t>HUONGNTS_LDG_CNKD</t>
  </si>
  <si>
    <t>CNKD_LDG_HUONGNTS</t>
  </si>
  <si>
    <t>NGYỄN THỊ LIÊN</t>
  </si>
  <si>
    <t>HUONGVTT_LDG_CNKD</t>
  </si>
  <si>
    <t>CNKD_LDG_HUONGVTT</t>
  </si>
  <si>
    <t>PHẠM THỊ HUYỀN LINH</t>
  </si>
  <si>
    <t>LINHPM_LDG_CNKD</t>
  </si>
  <si>
    <t>CNKD_LDG_LINHPM</t>
  </si>
  <si>
    <t>Nguyễn Thị Loan</t>
  </si>
  <si>
    <t>LOANBTB_LDG_CNKD</t>
  </si>
  <si>
    <t>CNKD_LDG_LOANBTB</t>
  </si>
  <si>
    <t>Lê Thị Thanh Nga</t>
  </si>
  <si>
    <t>LONGNT_LDG_CNKD</t>
  </si>
  <si>
    <t>CNKD_LDG_LONGNT</t>
  </si>
  <si>
    <t>HOÀNG THỊ BÍCH PHƯỢNG</t>
  </si>
  <si>
    <t>MINHPTY_LDG_CNKD</t>
  </si>
  <si>
    <t>CNKD_LDG_MINHPTY</t>
  </si>
  <si>
    <t>TRẦN THỊ THANH PHƯƠNG</t>
  </si>
  <si>
    <t>NHUANVD_LDG_CNKD</t>
  </si>
  <si>
    <t>CNKD_LDG_NHUANVD</t>
  </si>
  <si>
    <t>NGUYỄN HOÀNG DUY QUANG</t>
  </si>
  <si>
    <t>NHUNGPT_LDG_CNKD</t>
  </si>
  <si>
    <t>CNKD_LDG_NHUNGPT</t>
  </si>
  <si>
    <t>Nguyễn Đình Quát</t>
  </si>
  <si>
    <t>NHUYK_LDG_CNKD</t>
  </si>
  <si>
    <t>CNKD_LDG_NHUYK</t>
  </si>
  <si>
    <t>PHUONGNTT1_LDG_CNKD</t>
  </si>
  <si>
    <t>CNKD_LDG_PHUONGNTT1</t>
  </si>
  <si>
    <t>HỒ MINH TRÍ</t>
  </si>
  <si>
    <t>SANGLT_LDG_CNKD</t>
  </si>
  <si>
    <t>CNKD_LDG_SANGLT</t>
  </si>
  <si>
    <t>Phan Thế Vượng</t>
  </si>
  <si>
    <t>SANGTV_LDG_CNKD</t>
  </si>
  <si>
    <t>CNKD_LDG_SANGTV</t>
  </si>
  <si>
    <t>SONNH_LDG_CNKD</t>
  </si>
  <si>
    <t>CNKD_LDG_SONNH</t>
  </si>
  <si>
    <t>TAMDT_LDG_CNKD</t>
  </si>
  <si>
    <t>CNKD_LDG_TAMDT</t>
  </si>
  <si>
    <t>THUONGNTH_LDG_CNKD</t>
  </si>
  <si>
    <t>CNKD_LDG_THUONGNTH</t>
  </si>
  <si>
    <t>VANVV_LDG_CNKD</t>
  </si>
  <si>
    <t>CNKD_LDG_VANVV</t>
  </si>
  <si>
    <t>HOPVQ_LDG_CNKD</t>
  </si>
  <si>
    <t>CNKD_LDG_HOPVQ</t>
  </si>
  <si>
    <t>KPI theo tiến độ ngày</t>
  </si>
  <si>
    <t>THS Đôi dây Combo</t>
  </si>
  <si>
    <t>USER CNKD</t>
  </si>
  <si>
    <t>NV Quản Lý</t>
  </si>
  <si>
    <t>VIETDQ9_NVKDDB_LDG</t>
  </si>
  <si>
    <t>SONTV10_NVKDDB_LDG</t>
  </si>
  <si>
    <t>Tổng cước</t>
  </si>
  <si>
    <t>Đã Thu</t>
  </si>
  <si>
    <t>Bảng tính điểm cá nhân Kinh doanh</t>
  </si>
  <si>
    <t>Tỷ lệ hoàn thành</t>
  </si>
  <si>
    <t>Điểm Chuẩn</t>
  </si>
  <si>
    <t>Điểm tối đa</t>
  </si>
  <si>
    <t>Điểm Đạt theo chỉ tiêu</t>
  </si>
  <si>
    <t>Thiếu để đạt 100%</t>
  </si>
  <si>
    <t>Lưu ý, đỏ là đã dư Mốc 100%. Anh em canh số lượng ô  màu vàng để làm</t>
  </si>
  <si>
    <t>A</t>
  </si>
  <si>
    <t xml:space="preserve">CHỈ TIÊU KINH DOANH VTT: </t>
  </si>
  <si>
    <t>mã dữ liệu ko xoá</t>
  </si>
  <si>
    <t>TBTS_PTM (gồm CĐ)</t>
  </si>
  <si>
    <t xml:space="preserve">Số chu kỳ mua gói 5G: </t>
  </si>
  <si>
    <t>Thuê bao FTTH phát triển mới</t>
  </si>
  <si>
    <t>Thuê bao FTTH Supernet  PTM và nâng cấp</t>
  </si>
  <si>
    <t>TB Truyền hình MHL phát triển mới trên đôi dây FTTH</t>
  </si>
  <si>
    <t>TB TH rời mạng cho phép</t>
  </si>
  <si>
    <t>TB FTTH Rời mạng</t>
  </si>
  <si>
    <t>TB TH TV360 MHN Phát triển mới</t>
  </si>
  <si>
    <t>Sản lượng Thuê bao IOT HGĐ</t>
  </si>
  <si>
    <t>Tỷ lệ thu cước trả sau N1-N3</t>
  </si>
  <si>
    <t>Tô vàng 130%</t>
  </si>
  <si>
    <t>Tổng Điểm hoàn thành</t>
  </si>
  <si>
    <t xml:space="preserve">Ngày báo cáo: </t>
  </si>
  <si>
    <t>FTTH_PTM - TB FTTH phát triển mới</t>
  </si>
  <si>
    <t>FTTH_PTM_SUPERNET - Thuê bao FTTH Mesh Wifi</t>
  </si>
  <si>
    <t>KP_TH - Khôi phục thuê bao Truyền hình</t>
  </si>
  <si>
    <t>RM_FTTH_ALL - Thuê bao FTTH rời mạng</t>
  </si>
  <si>
    <t>RM_TH - Thuê bao rời mạng truyền hình</t>
  </si>
  <si>
    <t>SLCK_MUAGOI_5G - Số lượng chu kỳ gói 5G</t>
  </si>
  <si>
    <t>SL_HOME_CAMERA_FTTH - Tổng sản lượng Camera (kèm FTTH + bán lẻ)</t>
  </si>
  <si>
    <t>SL_TBDC_MYKID - Sản lượng bán đồng hồ Mykid</t>
  </si>
  <si>
    <t>TB_MYBOX - TB MyBox có tính phí</t>
  </si>
  <si>
    <t>TB_TV360_MHN_PTM - Thuê bao TV360 MHN phát triển mới</t>
  </si>
  <si>
    <t>TS_PTM - TB trả sau phát triển mới</t>
  </si>
  <si>
    <t>TT_THUC_30D_4G - Thuê bao đạt 4G từ KHM 30 ngày</t>
  </si>
  <si>
    <t>User HKD</t>
  </si>
  <si>
    <t>Tên HKD</t>
  </si>
  <si>
    <t>User Nhân viên quản lý</t>
  </si>
  <si>
    <t>KH đến ngày</t>
  </si>
  <si>
    <t>KH Tháng</t>
  </si>
  <si>
    <t>TH Ngày</t>
  </si>
  <si>
    <t>TH Lũy kế</t>
  </si>
  <si>
    <t>% HT ngày</t>
  </si>
  <si>
    <t>% HT KH tháng</t>
  </si>
  <si>
    <t>TH Cùng kỳ tháng</t>
  </si>
  <si>
    <t>% Tăng trưởng</t>
  </si>
  <si>
    <t>CNKD_Lương Thị Bình</t>
  </si>
  <si>
    <t>SENNT8_NVKDDB_LDG</t>
  </si>
  <si>
    <t>CNKD_Bùi Thu Hằng</t>
  </si>
  <si>
    <t>CNKD_Bằng Trung Hiếu</t>
  </si>
  <si>
    <t>CNKD_Trần Văn Hùng</t>
  </si>
  <si>
    <t>CNKD_Nguyễn Thị Song Hương</t>
  </si>
  <si>
    <t>CNKD_Vũ Thị Thu Hương</t>
  </si>
  <si>
    <t>CNKD_Phạm Mỹ Linh</t>
  </si>
  <si>
    <t>CNKD_Bùi Thị Bích Loan</t>
  </si>
  <si>
    <t>CNKD_Nguyễn Thành Long</t>
  </si>
  <si>
    <t>CNKD_Vũ Đức Nhuận</t>
  </si>
  <si>
    <t>CNKD_Phạm Thị Nhung</t>
  </si>
  <si>
    <t>CNKD_Ka Nhụy</t>
  </si>
  <si>
    <t>CNKD_Nguyễn Thị Thu Phượng</t>
  </si>
  <si>
    <t>CNKD_Lê Thanh Sang</t>
  </si>
  <si>
    <t>CNKD_Trương Văn Sang</t>
  </si>
  <si>
    <t>CNKD_Nguyễn Hồng Sơn</t>
  </si>
  <si>
    <t>CNKD_Đặng Thị Tám</t>
  </si>
  <si>
    <t>CNKD_Nguyễn Thị Huyền Thương</t>
  </si>
  <si>
    <t>CNKD_Vòng Vĩnh Vân</t>
  </si>
  <si>
    <t>CNKD_Văn Quý Hợp</t>
  </si>
  <si>
    <t>CNKD_Lê Trọng An</t>
  </si>
  <si>
    <t>User Kinh doanh</t>
  </si>
  <si>
    <t>user cha</t>
  </si>
  <si>
    <t>Quản lý</t>
  </si>
  <si>
    <t>TV MÀN HÌNH NHỎ STANDARD</t>
  </si>
  <si>
    <t>Mã hộ</t>
  </si>
  <si>
    <t>LUỸ KẾ</t>
  </si>
  <si>
    <t>%HT</t>
  </si>
  <si>
    <t>Laipt2_gdv_dvtm_ldg</t>
  </si>
  <si>
    <t>Trịnh Ngọc Tâm</t>
  </si>
  <si>
    <t>BẢNG GIAO CHỈ TIÊU THỰC HIỆN THEO NGÀY TỪ 10- 11 THÁNG 3/2024</t>
  </si>
  <si>
    <t>GIAO CHỈ TIÊU CNKD 2 NGÀY 26 VÀ 27</t>
  </si>
  <si>
    <t>Thuê  bao Supernnet</t>
  </si>
  <si>
    <t xml:space="preserve"> CAMERA</t>
  </si>
  <si>
    <t>Thuê bao trả sau PTM</t>
  </si>
  <si>
    <t>MUA GÓI 5G</t>
  </si>
  <si>
    <t>MUA GÓI STANDARD</t>
  </si>
  <si>
    <t>Truyền hình đôi dây</t>
  </si>
  <si>
    <t>Liên kết Thẻ Epass</t>
  </si>
  <si>
    <t>Sinh trắc học</t>
  </si>
  <si>
    <t>Super net</t>
  </si>
  <si>
    <t>Giao ngày 26</t>
  </si>
  <si>
    <t>TB mua gói 5G</t>
  </si>
  <si>
    <t>Hoàng Trung ĐÔng</t>
  </si>
  <si>
    <t>NGUYỄN THỊ THANH XUÂN</t>
  </si>
  <si>
    <t>Nhân viên quản lý.</t>
  </si>
  <si>
    <t>MÃ SHOP</t>
  </si>
  <si>
    <t>Đầu kỳ chốt cước</t>
  </si>
  <si>
    <t>Giảm trừ đầu kỳ phải thu</t>
  </si>
  <si>
    <t>Đầu kỳ phải thu</t>
  </si>
  <si>
    <t>Thu trong ngày</t>
  </si>
  <si>
    <t>Lũy kế thu</t>
  </si>
  <si>
    <t>% Hoàn thành</t>
  </si>
  <si>
    <t>Tiền</t>
  </si>
  <si>
    <t>7</t>
  </si>
  <si>
    <t>File cũ</t>
  </si>
  <si>
    <t>Thiếu để đạt</t>
  </si>
  <si>
    <t>TẬP ĐOÀN CÔNG NGHIỆP - VIỄN THÔNG QUÂN ĐỘI</t>
  </si>
  <si>
    <t>TỔNG CÔNG TY VIỄN THÔNG VIETTEL</t>
  </si>
  <si>
    <t>BÁO CÁO KẾT QUẢ THỰC HIỆN CHỈ TIÊU THEO HỘ KINH DOANH TOÀN QUỐC</t>
  </si>
  <si>
    <t>TH_DOIDAY_OTT_PTM - Thuê bao truyền hình MHL phát triển mới trên đôi dây FTTH</t>
  </si>
  <si>
    <t>Mã tỉnh</t>
  </si>
  <si>
    <t>Mã cụm xã</t>
  </si>
  <si>
    <t>Tên cụm xã</t>
  </si>
  <si>
    <t>Mã xã</t>
  </si>
  <si>
    <t>LDG</t>
  </si>
  <si>
    <t>1000538100_DVTM</t>
  </si>
  <si>
    <t>Kho DVTM Cụm Di Linh - Lâm Đồng</t>
  </si>
  <si>
    <t>LDG001</t>
  </si>
  <si>
    <t>LDG030</t>
  </si>
  <si>
    <t>CNKD_LDG_DANVTN</t>
  </si>
  <si>
    <t>CNKD_Vũ Thị Ngọc Đan</t>
  </si>
  <si>
    <t>LDG032</t>
  </si>
  <si>
    <t>LDG036</t>
  </si>
  <si>
    <t>CNKD_LDG_MAITTN</t>
  </si>
  <si>
    <t>CNKD_Trần Thị Ngọc Mai</t>
  </si>
  <si>
    <t>Ròi Mạng RM THS</t>
  </si>
  <si>
    <t>Mybox</t>
  </si>
  <si>
    <t>MAITTN_LDG_CNKD</t>
  </si>
  <si>
    <t>Đầu kỳ</t>
  </si>
  <si>
    <t>Cước ngày n-1</t>
  </si>
  <si>
    <t>Cước thu được 
trong ngày</t>
  </si>
  <si>
    <t>Cước cần thu</t>
  </si>
  <si>
    <t>CNKD_LDG_VIDNT</t>
  </si>
  <si>
    <t>CNKD_Đoàn Nguyễn Tường Vi</t>
  </si>
  <si>
    <t/>
  </si>
  <si>
    <t>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</si>
</sst>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0_);[Red]\(0.00\)"/>
    <numFmt numFmtId="165" formatCode="&quot;&quot;#,##0"/>
    <numFmt numFmtId="166" formatCode="_-* #,##0_-;\-* #,##0_-;_-* &quot;-&quot;??_-;_-@_-"/>
    <numFmt numFmtId="167" formatCode="_-* #,##0.0_-;\-* #,##0.0_-;_-* &quot;-&quot;??_-;_-@_-"/>
    <numFmt numFmtId="168" formatCode="&quot;$&quot;#,##0"/>
    <numFmt numFmtId="169" formatCode="[$-409]d/m/yyyy;@"/>
    <numFmt numFmtId="170" formatCode="_-* #,##0.00_-;\-* #,##0.00_-;_-* &quot;-&quot;??_-;_-@_-"/>
  </numFmts>
  <fonts count="69" x14ac:knownFonts="1">
    <font>
      <sz val="11"/>
      <color rgb="FF000000"/>
      <name val="Calibri"/>
      <family val="1"/>
    </font>
    <font>
      <sz val="11"/>
      <color rgb="FF000000"/>
      <name val="Calibri"/>
      <family val="1"/>
    </font>
    <font>
      <sz val="8"/>
      <name val="Cambria"/>
      <family val="1"/>
    </font>
    <font>
      <sz val="8"/>
      <name val="Arial"/>
      <family val="2"/>
    </font>
    <font>
      <b/>
      <sz val="8"/>
      <name val="Cambria"/>
      <family val="1"/>
    </font>
    <font>
      <b/>
      <sz val="12"/>
      <color rgb="FF000000"/>
      <name val="Calibri"/>
      <family val="1"/>
    </font>
    <font>
      <b/>
      <i/>
      <sz val="10"/>
      <color rgb="FF000000"/>
      <name val="Times New Roman"/>
      <family val="1"/>
    </font>
    <font>
      <b/>
      <i/>
      <sz val="12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name val="Calibri"/>
      <family val="1"/>
    </font>
    <font>
      <b/>
      <sz val="16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Calibri"/>
      <family val="1"/>
    </font>
    <font>
      <b/>
      <i/>
      <sz val="11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b/>
      <sz val="12"/>
      <color rgb="FFFF0000"/>
      <name val="Times New Roman"/>
      <family val="1"/>
    </font>
    <font>
      <sz val="12"/>
      <color rgb="FF000000"/>
      <name val="Times New Roman"/>
      <family val="1"/>
    </font>
    <font>
      <sz val="18"/>
      <color rgb="FF000000"/>
      <name val="Calibri"/>
      <family val="1"/>
    </font>
    <font>
      <b/>
      <sz val="14"/>
      <color rgb="FF000000"/>
      <name val="Times New Roman"/>
      <family val="1"/>
    </font>
    <font>
      <b/>
      <sz val="14"/>
      <name val="Times New Roman"/>
      <family val="1"/>
    </font>
    <font>
      <b/>
      <sz val="14"/>
      <color rgb="FF000000"/>
      <name val="Calibri"/>
      <family val="1"/>
    </font>
    <font>
      <b/>
      <sz val="9"/>
      <name val="Times New Roman"/>
      <family val="1"/>
    </font>
    <font>
      <sz val="16"/>
      <name val="Calibri"/>
      <family val="1"/>
    </font>
    <font>
      <b/>
      <sz val="18"/>
      <color rgb="FF000000"/>
      <name val="Calibri"/>
      <family val="1"/>
    </font>
    <font>
      <sz val="10"/>
      <color rgb="FF000000"/>
      <name val="Arial"/>
      <family val="2"/>
    </font>
    <font>
      <sz val="14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Calibri"/>
      <family val="1"/>
    </font>
    <font>
      <b/>
      <sz val="20"/>
      <name val="Times New Roman"/>
      <family val="1"/>
    </font>
    <font>
      <b/>
      <sz val="12"/>
      <color rgb="FFDF0000"/>
      <name val="Times New Roman"/>
      <family val="1"/>
    </font>
    <font>
      <b/>
      <sz val="12"/>
      <color rgb="FF2C7E00"/>
      <name val="Times New Roman"/>
      <family val="1"/>
    </font>
    <font>
      <b/>
      <sz val="8"/>
      <color rgb="FF000000"/>
      <name val="Arial"/>
      <family val="2"/>
    </font>
    <font>
      <sz val="12"/>
      <color rgb="FFED0000"/>
      <name val="Times New Roman"/>
      <family val="1"/>
    </font>
    <font>
      <sz val="8"/>
      <color rgb="FF000000"/>
      <name val="Arial"/>
      <family val="2"/>
    </font>
    <font>
      <sz val="10"/>
      <color rgb="FFFF0000"/>
      <name val="Times New Roman"/>
      <family val="1"/>
    </font>
    <font>
      <b/>
      <sz val="12"/>
      <color rgb="FF000000"/>
      <name val="Times New Roman"/>
      <family val="1"/>
    </font>
    <font>
      <b/>
      <sz val="8"/>
      <name val="Times New Roman"/>
      <family val="1"/>
    </font>
    <font>
      <b/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22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18"/>
      <name val="Times New Roman"/>
      <family val="1"/>
    </font>
    <font>
      <sz val="22"/>
      <name val="Times New Roman"/>
      <family val="1"/>
    </font>
    <font>
      <b/>
      <sz val="24"/>
      <name val="Times New Roman"/>
      <family val="1"/>
    </font>
    <font>
      <sz val="16"/>
      <color rgb="FF000000"/>
      <name val="Calibri"/>
      <family val="1"/>
    </font>
    <font>
      <b/>
      <sz val="20"/>
      <color rgb="FFFF0000"/>
      <name val="Calibri"/>
      <family val="1"/>
    </font>
    <font>
      <sz val="11"/>
      <name val="Arial"/>
      <family val="2"/>
    </font>
    <font>
      <b/>
      <sz val="20"/>
      <color rgb="FFFF0000"/>
      <name val="Times New Roman"/>
      <family val="1"/>
    </font>
    <font>
      <i/>
      <sz val="11"/>
      <color rgb="FF7F7F7F"/>
      <name val="Calibri"/>
      <family val="1"/>
    </font>
    <font>
      <sz val="11"/>
      <color rgb="FF9C5700"/>
      <name val="Calibri"/>
      <family val="1"/>
    </font>
    <font>
      <b/>
      <sz val="16"/>
      <color rgb="FFFF0000"/>
      <name val="Calibri"/>
      <family val="1"/>
    </font>
    <font>
      <sz val="18"/>
      <color rgb="FF000000"/>
      <name val="Calibri"/>
      <family val="1"/>
    </font>
    <font>
      <b/>
      <sz val="18"/>
      <color rgb="FF000000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Arial"/>
    </font>
    <font>
      <b/>
      <sz val="10"/>
      <color rgb="FF000000"/>
      <name val="Arial"/>
    </font>
    <font>
      <b/>
      <sz val="8"/>
      <color rgb="FF000000"/>
      <name val="Arial"/>
    </font>
    <font>
      <sz val="11"/>
      <name val="Calibri"/>
    </font>
    <font>
      <sz val="8"/>
      <color rgb="FF000000"/>
      <name val="Arial"/>
    </font>
    <font>
      <b/>
      <sz val="16"/>
      <color rgb="FF000000"/>
      <name val="Calibri"/>
      <family val="2"/>
    </font>
    <font>
      <sz val="11"/>
      <color indexed="8"/>
      <name val="Aptos Narrow"/>
      <family val="2"/>
      <scheme val="minor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C5E0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BF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CD6E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3CB"/>
        <bgColor indexed="64"/>
      </patternFill>
    </fill>
    <fill>
      <patternFill patternType="solid">
        <fgColor rgb="FF8EAADC"/>
        <bgColor indexed="64"/>
      </patternFill>
    </fill>
    <fill>
      <patternFill patternType="solid">
        <fgColor rgb="FFFFE799"/>
        <bgColor indexed="64"/>
      </patternFill>
    </fill>
    <fill>
      <patternFill patternType="solid">
        <fgColor rgb="FFA9D18D"/>
        <bgColor indexed="64"/>
      </patternFill>
    </fill>
    <fill>
      <patternFill patternType="solid">
        <fgColor rgb="FFB1FBBD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ABFC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CC3E6"/>
        <bgColor indexed="64"/>
      </patternFill>
    </fill>
    <fill>
      <patternFill patternType="solid">
        <fgColor rgb="FF9FD1FB"/>
        <bgColor indexed="64"/>
      </patternFill>
    </fill>
    <fill>
      <patternFill patternType="solid">
        <fgColor rgb="FFCCE7FD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2F549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FD1FB"/>
      </patternFill>
    </fill>
    <fill>
      <patternFill patternType="solid">
        <fgColor rgb="FFFABFC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CE7FD"/>
      </patternFill>
    </fill>
  </fills>
  <borders count="1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808080"/>
      </left>
      <right style="medium">
        <color rgb="FFCCCCCC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808080"/>
      </right>
      <top style="medium">
        <color rgb="FFCCCCCC"/>
      </top>
      <bottom style="thin">
        <color rgb="FF808080"/>
      </bottom>
      <diagonal/>
    </border>
    <border>
      <left/>
      <right/>
      <top style="medium">
        <color rgb="FFCCCCCC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CCCCCC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thin">
        <color rgb="FF808080"/>
      </right>
      <top style="medium">
        <color rgb="FFCCCCCC"/>
      </top>
      <bottom style="thin">
        <color rgb="FF808080"/>
      </bottom>
      <diagonal/>
    </border>
    <border>
      <left style="medium">
        <color rgb="FFCCCCCC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CCCCCC"/>
      </left>
      <right style="thin">
        <color rgb="FF808080"/>
      </right>
      <top style="thin">
        <color rgb="FF808080"/>
      </top>
      <bottom style="medium">
        <color rgb="FFCCCCCC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0" fontId="55" fillId="0" borderId="0"/>
    <xf numFmtId="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26" borderId="0"/>
    <xf numFmtId="43" fontId="1" fillId="0" borderId="0"/>
    <xf numFmtId="0" fontId="1" fillId="0" borderId="0"/>
    <xf numFmtId="170" fontId="1" fillId="0" borderId="0"/>
    <xf numFmtId="0" fontId="67" fillId="0" borderId="0"/>
  </cellStyleXfs>
  <cellXfs count="25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1" xfId="0" applyBorder="1"/>
    <xf numFmtId="0" fontId="6" fillId="3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9" fillId="3" borderId="5" xfId="1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vertical="center"/>
    </xf>
    <xf numFmtId="0" fontId="11" fillId="2" borderId="7" xfId="0" applyFont="1" applyFill="1" applyBorder="1" applyAlignment="1">
      <alignment horizontal="center" vertical="center"/>
    </xf>
    <xf numFmtId="9" fontId="12" fillId="2" borderId="8" xfId="2" applyFont="1" applyFill="1" applyBorder="1" applyAlignment="1">
      <alignment horizontal="center" vertical="center"/>
    </xf>
    <xf numFmtId="0" fontId="10" fillId="0" borderId="0" xfId="0" applyFont="1"/>
    <xf numFmtId="0" fontId="14" fillId="0" borderId="0" xfId="0" applyFont="1" applyAlignment="1">
      <alignment horizontal="center" vertical="center"/>
    </xf>
    <xf numFmtId="9" fontId="1" fillId="0" borderId="0" xfId="0" applyNumberFormat="1" applyFont="1"/>
    <xf numFmtId="0" fontId="1" fillId="2" borderId="0" xfId="0" applyFont="1" applyFill="1"/>
    <xf numFmtId="0" fontId="15" fillId="0" borderId="10" xfId="3" applyFont="1" applyBorder="1"/>
    <xf numFmtId="0" fontId="15" fillId="6" borderId="11" xfId="3" applyFont="1" applyFill="1" applyBorder="1"/>
    <xf numFmtId="0" fontId="15" fillId="0" borderId="12" xfId="3" applyFont="1" applyBorder="1" applyAlignment="1">
      <alignment vertical="center"/>
    </xf>
    <xf numFmtId="0" fontId="6" fillId="7" borderId="13" xfId="1" applyFont="1" applyFill="1" applyBorder="1" applyAlignment="1">
      <alignment horizontal="center" vertical="center" wrapText="1"/>
    </xf>
    <xf numFmtId="0" fontId="1" fillId="5" borderId="0" xfId="0" applyFont="1" applyFill="1"/>
    <xf numFmtId="1" fontId="16" fillId="5" borderId="14" xfId="4" applyNumberFormat="1" applyFont="1" applyFill="1" applyBorder="1" applyAlignment="1">
      <alignment horizontal="right" vertical="center" wrapText="1"/>
    </xf>
    <xf numFmtId="0" fontId="1" fillId="0" borderId="15" xfId="0" applyFont="1" applyBorder="1"/>
    <xf numFmtId="0" fontId="1" fillId="5" borderId="16" xfId="0" applyFont="1" applyFill="1" applyBorder="1"/>
    <xf numFmtId="0" fontId="1" fillId="0" borderId="17" xfId="0" applyFont="1" applyBorder="1" applyAlignment="1">
      <alignment horizontal="center"/>
    </xf>
    <xf numFmtId="0" fontId="17" fillId="8" borderId="18" xfId="5" applyFont="1" applyFill="1" applyBorder="1" applyAlignment="1">
      <alignment horizontal="center" vertical="center" wrapText="1"/>
    </xf>
    <xf numFmtId="9" fontId="17" fillId="2" borderId="19" xfId="2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2" borderId="20" xfId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0" fontId="9" fillId="3" borderId="21" xfId="0" applyNumberFormat="1" applyFont="1" applyFill="1" applyBorder="1" applyAlignment="1">
      <alignment vertical="center"/>
    </xf>
    <xf numFmtId="1" fontId="1" fillId="0" borderId="0" xfId="0" applyNumberFormat="1" applyFont="1"/>
    <xf numFmtId="0" fontId="22" fillId="9" borderId="22" xfId="6" applyFont="1" applyFill="1" applyBorder="1" applyAlignment="1">
      <alignment horizontal="center" vertical="center"/>
    </xf>
    <xf numFmtId="0" fontId="11" fillId="0" borderId="23" xfId="1" applyFont="1" applyBorder="1" applyAlignment="1">
      <alignment horizontal="left" vertical="center" wrapText="1"/>
    </xf>
    <xf numFmtId="0" fontId="12" fillId="9" borderId="24" xfId="6" applyFont="1" applyFill="1" applyBorder="1" applyAlignment="1">
      <alignment horizontal="left" vertical="center"/>
    </xf>
    <xf numFmtId="164" fontId="1" fillId="0" borderId="0" xfId="0" applyNumberFormat="1" applyFont="1"/>
    <xf numFmtId="0" fontId="24" fillId="0" borderId="0" xfId="0" applyFont="1" applyAlignment="1">
      <alignment horizontal="center" vertical="center" wrapText="1"/>
    </xf>
    <xf numFmtId="0" fontId="25" fillId="10" borderId="25" xfId="0" applyFont="1" applyFill="1" applyBorder="1" applyAlignment="1">
      <alignment horizontal="center" vertical="center" wrapText="1"/>
    </xf>
    <xf numFmtId="0" fontId="1" fillId="11" borderId="0" xfId="0" applyFont="1" applyFill="1"/>
    <xf numFmtId="10" fontId="23" fillId="2" borderId="26" xfId="0" applyNumberFormat="1" applyFont="1" applyFill="1" applyBorder="1" applyAlignment="1">
      <alignment vertical="center" wrapText="1"/>
    </xf>
    <xf numFmtId="0" fontId="11" fillId="12" borderId="27" xfId="6" applyFont="1" applyFill="1" applyBorder="1" applyAlignment="1">
      <alignment horizontal="center" vertical="center" wrapText="1"/>
    </xf>
    <xf numFmtId="1" fontId="12" fillId="2" borderId="28" xfId="0" applyNumberFormat="1" applyFont="1" applyFill="1" applyBorder="1" applyAlignment="1">
      <alignment horizontal="center" vertical="center"/>
    </xf>
    <xf numFmtId="0" fontId="8" fillId="13" borderId="29" xfId="0" applyFont="1" applyFill="1" applyBorder="1" applyAlignment="1">
      <alignment horizontal="center" vertical="center"/>
    </xf>
    <xf numFmtId="1" fontId="12" fillId="13" borderId="30" xfId="0" applyNumberFormat="1" applyFont="1" applyFill="1" applyBorder="1" applyAlignment="1">
      <alignment horizontal="center" vertical="center"/>
    </xf>
    <xf numFmtId="0" fontId="8" fillId="13" borderId="31" xfId="0" applyFont="1" applyFill="1" applyBorder="1" applyAlignment="1">
      <alignment horizontal="center" vertical="center" wrapText="1"/>
    </xf>
    <xf numFmtId="1" fontId="12" fillId="13" borderId="32" xfId="0" applyNumberFormat="1" applyFont="1" applyFill="1" applyBorder="1" applyAlignment="1">
      <alignment horizontal="center" vertical="center" wrapText="1"/>
    </xf>
    <xf numFmtId="0" fontId="11" fillId="0" borderId="33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0" fillId="7" borderId="34" xfId="0" applyFont="1" applyFill="1" applyBorder="1" applyAlignment="1">
      <alignment horizontal="center" vertical="center"/>
    </xf>
    <xf numFmtId="0" fontId="10" fillId="3" borderId="35" xfId="0" applyFont="1" applyFill="1" applyBorder="1" applyAlignment="1">
      <alignment horizontal="center" vertical="center"/>
    </xf>
    <xf numFmtId="0" fontId="18" fillId="0" borderId="36" xfId="0" applyFont="1" applyBorder="1"/>
    <xf numFmtId="0" fontId="18" fillId="2" borderId="37" xfId="0" applyFont="1" applyFill="1" applyBorder="1"/>
    <xf numFmtId="0" fontId="11" fillId="2" borderId="7" xfId="6" applyFont="1" applyFill="1" applyBorder="1" applyAlignment="1">
      <alignment horizontal="center" vertical="center"/>
    </xf>
    <xf numFmtId="0" fontId="22" fillId="9" borderId="38" xfId="6" applyFont="1" applyFill="1" applyBorder="1" applyAlignment="1">
      <alignment horizontal="center" vertical="center" wrapText="1"/>
    </xf>
    <xf numFmtId="0" fontId="22" fillId="15" borderId="39" xfId="6" applyFont="1" applyFill="1" applyBorder="1" applyAlignment="1">
      <alignment horizontal="center" vertical="center" wrapText="1"/>
    </xf>
    <xf numFmtId="165" fontId="11" fillId="2" borderId="40" xfId="0" applyNumberFormat="1" applyFont="1" applyFill="1" applyBorder="1" applyAlignment="1">
      <alignment horizontal="center" vertical="center"/>
    </xf>
    <xf numFmtId="164" fontId="27" fillId="0" borderId="41" xfId="0" applyNumberFormat="1" applyFont="1" applyBorder="1" applyAlignment="1">
      <alignment horizontal="center"/>
    </xf>
    <xf numFmtId="9" fontId="8" fillId="13" borderId="42" xfId="2" applyFont="1" applyFill="1" applyBorder="1" applyAlignment="1">
      <alignment horizontal="center" vertical="center" wrapText="1"/>
    </xf>
    <xf numFmtId="9" fontId="12" fillId="13" borderId="43" xfId="2" applyFont="1" applyFill="1" applyBorder="1" applyAlignment="1">
      <alignment horizontal="center" vertical="center" wrapText="1"/>
    </xf>
    <xf numFmtId="9" fontId="14" fillId="0" borderId="0" xfId="2" applyFont="1" applyAlignment="1">
      <alignment horizontal="center" vertical="center"/>
    </xf>
    <xf numFmtId="1" fontId="26" fillId="11" borderId="44" xfId="0" applyNumberFormat="1" applyFont="1" applyFill="1" applyBorder="1" applyAlignment="1">
      <alignment horizontal="center" vertical="center"/>
    </xf>
    <xf numFmtId="1" fontId="16" fillId="11" borderId="45" xfId="0" applyNumberFormat="1" applyFont="1" applyFill="1" applyBorder="1" applyAlignment="1">
      <alignment horizontal="center" vertical="center"/>
    </xf>
    <xf numFmtId="0" fontId="28" fillId="5" borderId="46" xfId="1" applyFont="1" applyFill="1" applyBorder="1" applyAlignment="1">
      <alignment vertical="center" wrapText="1"/>
    </xf>
    <xf numFmtId="2" fontId="29" fillId="10" borderId="0" xfId="0" applyNumberFormat="1" applyFont="1" applyFill="1" applyAlignment="1">
      <alignment horizontal="center" vertical="center"/>
    </xf>
    <xf numFmtId="0" fontId="30" fillId="5" borderId="0" xfId="0" applyFont="1" applyFill="1" applyAlignment="1">
      <alignment horizontal="center" vertical="center"/>
    </xf>
    <xf numFmtId="0" fontId="23" fillId="6" borderId="47" xfId="0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1" fontId="32" fillId="6" borderId="48" xfId="7" applyNumberFormat="1" applyFont="1" applyFill="1" applyBorder="1" applyAlignment="1">
      <alignment horizontal="center" vertical="center" wrapText="1"/>
    </xf>
    <xf numFmtId="1" fontId="32" fillId="6" borderId="49" xfId="7" applyNumberFormat="1" applyFont="1" applyFill="1" applyBorder="1" applyAlignment="1">
      <alignment horizontal="center" vertical="center" wrapText="1"/>
    </xf>
    <xf numFmtId="0" fontId="10" fillId="2" borderId="0" xfId="0" applyFont="1" applyFill="1"/>
    <xf numFmtId="0" fontId="10" fillId="5" borderId="0" xfId="0" applyFont="1" applyFill="1"/>
    <xf numFmtId="0" fontId="14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3" fillId="5" borderId="50" xfId="0" applyFont="1" applyFill="1" applyBorder="1" applyAlignment="1">
      <alignment horizontal="center" vertical="center" wrapText="1"/>
    </xf>
    <xf numFmtId="2" fontId="22" fillId="15" borderId="51" xfId="6" applyNumberFormat="1" applyFont="1" applyFill="1" applyBorder="1" applyAlignment="1">
      <alignment horizontal="center" vertical="center" wrapText="1"/>
    </xf>
    <xf numFmtId="9" fontId="14" fillId="5" borderId="0" xfId="2" applyFont="1" applyFill="1" applyAlignment="1">
      <alignment horizontal="center" vertical="center"/>
    </xf>
    <xf numFmtId="0" fontId="34" fillId="13" borderId="52" xfId="0" applyFont="1" applyFill="1" applyBorder="1" applyAlignment="1">
      <alignment wrapText="1"/>
    </xf>
    <xf numFmtId="0" fontId="34" fillId="13" borderId="53" xfId="0" applyFont="1" applyFill="1" applyBorder="1"/>
    <xf numFmtId="0" fontId="13" fillId="0" borderId="0" xfId="0" applyFont="1"/>
    <xf numFmtId="0" fontId="13" fillId="2" borderId="0" xfId="0" applyFont="1" applyFill="1"/>
    <xf numFmtId="0" fontId="14" fillId="0" borderId="54" xfId="0" applyFont="1" applyBorder="1" applyAlignment="1">
      <alignment vertical="center"/>
    </xf>
    <xf numFmtId="0" fontId="13" fillId="5" borderId="55" xfId="0" applyFont="1" applyFill="1" applyBorder="1" applyAlignment="1">
      <alignment vertical="center" wrapText="1"/>
    </xf>
    <xf numFmtId="0" fontId="13" fillId="5" borderId="56" xfId="0" applyFont="1" applyFill="1" applyBorder="1" applyAlignment="1">
      <alignment vertical="center" wrapText="1"/>
    </xf>
    <xf numFmtId="1" fontId="22" fillId="5" borderId="57" xfId="4" applyNumberFormat="1" applyFont="1" applyFill="1" applyBorder="1" applyAlignment="1">
      <alignment horizontal="center" vertical="center" wrapText="1"/>
    </xf>
    <xf numFmtId="0" fontId="22" fillId="5" borderId="58" xfId="5" applyFont="1" applyFill="1" applyBorder="1" applyAlignment="1">
      <alignment horizontal="center" vertical="center" wrapText="1"/>
    </xf>
    <xf numFmtId="0" fontId="22" fillId="5" borderId="58" xfId="4" applyFont="1" applyFill="1" applyBorder="1" applyAlignment="1">
      <alignment horizontal="center" vertical="center" wrapText="1"/>
    </xf>
    <xf numFmtId="165" fontId="13" fillId="0" borderId="59" xfId="0" applyNumberFormat="1" applyFont="1" applyBorder="1" applyAlignment="1">
      <alignment horizontal="left" vertical="center"/>
    </xf>
    <xf numFmtId="10" fontId="36" fillId="19" borderId="60" xfId="0" applyNumberFormat="1" applyFont="1" applyFill="1" applyBorder="1"/>
    <xf numFmtId="10" fontId="14" fillId="6" borderId="61" xfId="0" applyNumberFormat="1" applyFont="1" applyFill="1" applyBorder="1"/>
    <xf numFmtId="165" fontId="13" fillId="6" borderId="62" xfId="0" applyNumberFormat="1" applyFont="1" applyFill="1" applyBorder="1" applyAlignment="1">
      <alignment horizontal="left" vertical="center"/>
    </xf>
    <xf numFmtId="10" fontId="13" fillId="6" borderId="63" xfId="2" applyNumberFormat="1" applyFont="1" applyFill="1" applyBorder="1" applyAlignment="1">
      <alignment horizontal="right" vertical="center"/>
    </xf>
    <xf numFmtId="165" fontId="13" fillId="11" borderId="64" xfId="0" applyNumberFormat="1" applyFont="1" applyFill="1" applyBorder="1" applyAlignment="1">
      <alignment horizontal="left" vertical="center"/>
    </xf>
    <xf numFmtId="10" fontId="37" fillId="11" borderId="65" xfId="0" applyNumberFormat="1" applyFont="1" applyFill="1" applyBorder="1"/>
    <xf numFmtId="165" fontId="13" fillId="11" borderId="66" xfId="0" applyNumberFormat="1" applyFont="1" applyFill="1" applyBorder="1" applyAlignment="1">
      <alignment horizontal="left" vertical="center"/>
    </xf>
    <xf numFmtId="0" fontId="21" fillId="2" borderId="67" xfId="0" applyFont="1" applyFill="1" applyBorder="1" applyAlignment="1">
      <alignment vertical="center" wrapText="1"/>
    </xf>
    <xf numFmtId="49" fontId="21" fillId="2" borderId="68" xfId="0" applyNumberFormat="1" applyFont="1" applyFill="1" applyBorder="1" applyAlignment="1">
      <alignment horizontal="right" vertical="center" wrapText="1"/>
    </xf>
    <xf numFmtId="0" fontId="21" fillId="2" borderId="69" xfId="0" applyFont="1" applyFill="1" applyBorder="1" applyAlignment="1">
      <alignment horizontal="right" vertical="center" wrapText="1"/>
    </xf>
    <xf numFmtId="3" fontId="21" fillId="2" borderId="70" xfId="0" applyNumberFormat="1" applyFont="1" applyFill="1" applyBorder="1" applyAlignment="1">
      <alignment vertical="center" wrapText="1"/>
    </xf>
    <xf numFmtId="49" fontId="21" fillId="5" borderId="71" xfId="0" applyNumberFormat="1" applyFont="1" applyFill="1" applyBorder="1" applyAlignment="1">
      <alignment vertical="center" wrapText="1"/>
    </xf>
    <xf numFmtId="0" fontId="21" fillId="5" borderId="72" xfId="0" applyFont="1" applyFill="1" applyBorder="1" applyAlignment="1">
      <alignment vertical="center" wrapText="1"/>
    </xf>
    <xf numFmtId="0" fontId="39" fillId="5" borderId="73" xfId="0" applyFont="1" applyFill="1" applyBorder="1" applyAlignment="1">
      <alignment vertical="center" wrapText="1"/>
    </xf>
    <xf numFmtId="9" fontId="11" fillId="2" borderId="9" xfId="2" applyFont="1" applyFill="1" applyBorder="1" applyAlignment="1">
      <alignment horizontal="center" vertical="center"/>
    </xf>
    <xf numFmtId="0" fontId="40" fillId="0" borderId="74" xfId="0" applyFont="1" applyBorder="1"/>
    <xf numFmtId="0" fontId="40" fillId="0" borderId="75" xfId="0" applyFont="1" applyBorder="1"/>
    <xf numFmtId="0" fontId="41" fillId="0" borderId="0" xfId="0" applyFont="1"/>
    <xf numFmtId="0" fontId="13" fillId="0" borderId="0" xfId="0" applyFont="1" applyAlignment="1">
      <alignment horizontal="center" vertical="center"/>
    </xf>
    <xf numFmtId="2" fontId="42" fillId="5" borderId="77" xfId="0" applyNumberFormat="1" applyFont="1" applyFill="1" applyBorder="1" applyAlignment="1">
      <alignment horizontal="center" vertical="center" wrapText="1"/>
    </xf>
    <xf numFmtId="0" fontId="23" fillId="0" borderId="78" xfId="0" applyFont="1" applyBorder="1" applyAlignment="1">
      <alignment horizontal="center" vertical="center" wrapText="1"/>
    </xf>
    <xf numFmtId="2" fontId="12" fillId="2" borderId="79" xfId="6" applyNumberFormat="1" applyFont="1" applyFill="1" applyBorder="1" applyAlignment="1">
      <alignment horizontal="center" vertical="center" wrapText="1"/>
    </xf>
    <xf numFmtId="10" fontId="43" fillId="5" borderId="80" xfId="0" applyNumberFormat="1" applyFont="1" applyFill="1" applyBorder="1" applyAlignment="1">
      <alignment vertical="center" wrapText="1"/>
    </xf>
    <xf numFmtId="0" fontId="14" fillId="6" borderId="81" xfId="0" applyFont="1" applyFill="1" applyBorder="1" applyAlignment="1">
      <alignment horizontal="center"/>
    </xf>
    <xf numFmtId="0" fontId="40" fillId="5" borderId="82" xfId="0" applyFont="1" applyFill="1" applyBorder="1"/>
    <xf numFmtId="167" fontId="33" fillId="0" borderId="0" xfId="8" applyNumberFormat="1" applyFont="1"/>
    <xf numFmtId="0" fontId="31" fillId="0" borderId="0" xfId="0" applyFont="1" applyAlignment="1">
      <alignment horizontal="left" vertical="center"/>
    </xf>
    <xf numFmtId="0" fontId="44" fillId="21" borderId="84" xfId="0" applyFont="1" applyFill="1" applyBorder="1" applyAlignment="1">
      <alignment horizontal="center" vertical="center"/>
    </xf>
    <xf numFmtId="166" fontId="45" fillId="0" borderId="85" xfId="10" applyNumberFormat="1" applyFont="1" applyBorder="1" applyAlignment="1">
      <alignment vertical="center"/>
    </xf>
    <xf numFmtId="0" fontId="40" fillId="18" borderId="86" xfId="0" applyFont="1" applyFill="1" applyBorder="1"/>
    <xf numFmtId="0" fontId="1" fillId="0" borderId="0" xfId="0" applyFont="1" applyAlignment="1">
      <alignment horizontal="center"/>
    </xf>
    <xf numFmtId="165" fontId="13" fillId="5" borderId="87" xfId="0" applyNumberFormat="1" applyFont="1" applyFill="1" applyBorder="1" applyAlignment="1">
      <alignment horizontal="left" vertical="center"/>
    </xf>
    <xf numFmtId="165" fontId="13" fillId="20" borderId="88" xfId="0" applyNumberFormat="1" applyFont="1" applyFill="1" applyBorder="1" applyAlignment="1">
      <alignment horizontal="left" vertical="center"/>
    </xf>
    <xf numFmtId="0" fontId="10" fillId="3" borderId="89" xfId="0" applyFont="1" applyFill="1" applyBorder="1" applyAlignment="1">
      <alignment horizontal="center" vertical="center"/>
    </xf>
    <xf numFmtId="0" fontId="44" fillId="21" borderId="90" xfId="0" applyFont="1" applyFill="1" applyBorder="1" applyAlignment="1">
      <alignment horizontal="center" vertical="center"/>
    </xf>
    <xf numFmtId="168" fontId="18" fillId="5" borderId="91" xfId="0" applyNumberFormat="1" applyFont="1" applyFill="1" applyBorder="1"/>
    <xf numFmtId="168" fontId="18" fillId="20" borderId="92" xfId="0" applyNumberFormat="1" applyFont="1" applyFill="1" applyBorder="1"/>
    <xf numFmtId="165" fontId="13" fillId="2" borderId="93" xfId="0" applyNumberFormat="1" applyFont="1" applyFill="1" applyBorder="1" applyAlignment="1">
      <alignment horizontal="left" vertical="center"/>
    </xf>
    <xf numFmtId="0" fontId="13" fillId="0" borderId="96" xfId="0" applyFont="1" applyBorder="1"/>
    <xf numFmtId="9" fontId="11" fillId="0" borderId="97" xfId="2" applyFont="1" applyBorder="1" applyAlignment="1">
      <alignment horizontal="center"/>
    </xf>
    <xf numFmtId="165" fontId="13" fillId="11" borderId="0" xfId="0" applyNumberFormat="1" applyFont="1" applyFill="1" applyAlignment="1">
      <alignment horizontal="left" vertical="center"/>
    </xf>
    <xf numFmtId="0" fontId="11" fillId="0" borderId="0" xfId="0" applyFont="1" applyAlignment="1">
      <alignment horizontal="center"/>
    </xf>
    <xf numFmtId="0" fontId="13" fillId="0" borderId="150" xfId="0" applyFont="1" applyBorder="1"/>
    <xf numFmtId="0" fontId="13" fillId="0" borderId="150" xfId="0" applyFont="1" applyBorder="1" applyAlignment="1">
      <alignment horizontal="center" vertical="center"/>
    </xf>
    <xf numFmtId="0" fontId="60" fillId="0" borderId="150" xfId="0" applyFont="1" applyBorder="1" applyAlignment="1">
      <alignment horizontal="center"/>
    </xf>
    <xf numFmtId="9" fontId="60" fillId="0" borderId="150" xfId="2" applyFont="1" applyBorder="1" applyAlignment="1">
      <alignment horizontal="center"/>
    </xf>
    <xf numFmtId="0" fontId="61" fillId="0" borderId="0" xfId="0" applyFont="1"/>
    <xf numFmtId="0" fontId="63" fillId="0" borderId="0" xfId="0" applyFont="1" applyAlignment="1">
      <alignment horizontal="center"/>
    </xf>
    <xf numFmtId="0" fontId="63" fillId="28" borderId="159" xfId="0" applyFont="1" applyFill="1" applyBorder="1" applyAlignment="1">
      <alignment vertical="center"/>
    </xf>
    <xf numFmtId="0" fontId="61" fillId="28" borderId="131" xfId="0" applyFont="1" applyFill="1" applyBorder="1"/>
    <xf numFmtId="0" fontId="61" fillId="28" borderId="131" xfId="0" applyFont="1" applyFill="1" applyBorder="1" applyAlignment="1">
      <alignment vertical="center"/>
    </xf>
    <xf numFmtId="0" fontId="63" fillId="28" borderId="160" xfId="0" applyFont="1" applyFill="1" applyBorder="1" applyAlignment="1">
      <alignment horizontal="center" vertical="center"/>
    </xf>
    <xf numFmtId="0" fontId="63" fillId="28" borderId="95" xfId="0" applyFont="1" applyFill="1" applyBorder="1" applyAlignment="1">
      <alignment horizontal="left" vertical="center"/>
    </xf>
    <xf numFmtId="0" fontId="63" fillId="28" borderId="95" xfId="0" applyFont="1" applyFill="1" applyBorder="1" applyAlignment="1">
      <alignment horizontal="center" vertical="center"/>
    </xf>
    <xf numFmtId="0" fontId="63" fillId="27" borderId="95" xfId="0" applyFont="1" applyFill="1" applyBorder="1" applyAlignment="1">
      <alignment vertical="center"/>
    </xf>
    <xf numFmtId="0" fontId="63" fillId="27" borderId="76" xfId="0" applyFont="1" applyFill="1" applyBorder="1" applyAlignment="1">
      <alignment vertical="center"/>
    </xf>
    <xf numFmtId="0" fontId="65" fillId="0" borderId="160" xfId="0" applyFont="1" applyBorder="1"/>
    <xf numFmtId="0" fontId="65" fillId="0" borderId="95" xfId="0" applyFont="1" applyBorder="1"/>
    <xf numFmtId="0" fontId="65" fillId="0" borderId="161" xfId="0" applyFont="1" applyBorder="1"/>
    <xf numFmtId="0" fontId="65" fillId="0" borderId="162" xfId="0" applyFont="1" applyBorder="1"/>
    <xf numFmtId="0" fontId="21" fillId="2" borderId="68" xfId="0" applyFont="1" applyFill="1" applyBorder="1" applyAlignment="1">
      <alignment horizontal="right" vertical="center" wrapText="1"/>
    </xf>
    <xf numFmtId="9" fontId="23" fillId="5" borderId="50" xfId="0" applyNumberFormat="1" applyFont="1" applyFill="1" applyBorder="1" applyAlignment="1">
      <alignment horizontal="center" vertical="center" wrapText="1"/>
    </xf>
    <xf numFmtId="0" fontId="22" fillId="5" borderId="23" xfId="1" applyFont="1" applyFill="1" applyBorder="1" applyAlignment="1">
      <alignment horizontal="left" vertical="center" wrapText="1"/>
    </xf>
    <xf numFmtId="0" fontId="11" fillId="0" borderId="150" xfId="1" applyFont="1" applyBorder="1" applyAlignment="1">
      <alignment horizontal="left" vertical="center" wrapText="1"/>
    </xf>
    <xf numFmtId="10" fontId="23" fillId="2" borderId="145" xfId="0" applyNumberFormat="1" applyFont="1" applyFill="1" applyBorder="1" applyAlignment="1">
      <alignment vertical="center" wrapText="1"/>
    </xf>
    <xf numFmtId="0" fontId="68" fillId="0" borderId="150" xfId="0" applyFont="1" applyBorder="1" applyAlignment="1">
      <alignment vertical="center"/>
    </xf>
    <xf numFmtId="0" fontId="31" fillId="0" borderId="163" xfId="0" applyFont="1" applyBorder="1" applyAlignment="1">
      <alignment vertical="center"/>
    </xf>
    <xf numFmtId="0" fontId="31" fillId="22" borderId="163" xfId="0" applyFont="1" applyFill="1" applyBorder="1" applyAlignment="1">
      <alignment vertical="center"/>
    </xf>
    <xf numFmtId="168" fontId="44" fillId="18" borderId="83" xfId="0" applyNumberFormat="1" applyFont="1" applyFill="1" applyBorder="1" applyAlignment="1">
      <alignment horizontal="right" vertical="center"/>
    </xf>
    <xf numFmtId="168" fontId="44" fillId="30" borderId="83" xfId="0" applyNumberFormat="1" applyFont="1" applyFill="1" applyBorder="1" applyAlignment="1">
      <alignment horizontal="right" vertical="center"/>
    </xf>
    <xf numFmtId="165" fontId="13" fillId="31" borderId="150" xfId="0" applyNumberFormat="1" applyFont="1" applyFill="1" applyBorder="1" applyAlignment="1">
      <alignment horizontal="left" vertical="center"/>
    </xf>
    <xf numFmtId="0" fontId="10" fillId="31" borderId="123" xfId="0" applyFont="1" applyFill="1" applyBorder="1" applyAlignment="1">
      <alignment horizontal="center" vertical="center"/>
    </xf>
    <xf numFmtId="165" fontId="11" fillId="31" borderId="150" xfId="0" applyNumberFormat="1" applyFont="1" applyFill="1" applyBorder="1" applyAlignment="1">
      <alignment horizontal="center" vertical="center"/>
    </xf>
    <xf numFmtId="9" fontId="12" fillId="31" borderId="150" xfId="2" applyFont="1" applyFill="1" applyBorder="1" applyAlignment="1">
      <alignment horizontal="center" vertical="center"/>
    </xf>
    <xf numFmtId="1" fontId="12" fillId="31" borderId="150" xfId="0" applyNumberFormat="1" applyFont="1" applyFill="1" applyBorder="1" applyAlignment="1">
      <alignment horizontal="center" vertical="center"/>
    </xf>
    <xf numFmtId="0" fontId="11" fillId="31" borderId="150" xfId="0" applyFont="1" applyFill="1" applyBorder="1" applyAlignment="1">
      <alignment horizontal="center" vertical="center"/>
    </xf>
    <xf numFmtId="0" fontId="10" fillId="31" borderId="150" xfId="0" applyFont="1" applyFill="1" applyBorder="1" applyAlignment="1">
      <alignment horizontal="center" vertical="center"/>
    </xf>
    <xf numFmtId="9" fontId="12" fillId="31" borderId="150" xfId="2" applyFont="1" applyFill="1" applyBorder="1" applyAlignment="1">
      <alignment horizontal="center" vertical="center" wrapText="1"/>
    </xf>
    <xf numFmtId="10" fontId="9" fillId="31" borderId="150" xfId="0" applyNumberFormat="1" applyFont="1" applyFill="1" applyBorder="1" applyAlignment="1">
      <alignment vertical="center"/>
    </xf>
    <xf numFmtId="10" fontId="43" fillId="31" borderId="150" xfId="0" applyNumberFormat="1" applyFont="1" applyFill="1" applyBorder="1" applyAlignment="1">
      <alignment vertical="center" wrapText="1"/>
    </xf>
    <xf numFmtId="1" fontId="12" fillId="31" borderId="150" xfId="0" applyNumberFormat="1" applyFont="1" applyFill="1" applyBorder="1" applyAlignment="1">
      <alignment horizontal="center" vertical="center" wrapText="1"/>
    </xf>
    <xf numFmtId="0" fontId="0" fillId="31" borderId="0" xfId="0" applyFill="1"/>
    <xf numFmtId="168" fontId="44" fillId="18" borderId="158" xfId="0" applyNumberFormat="1" applyFont="1" applyFill="1" applyBorder="1" applyAlignment="1">
      <alignment horizontal="right" vertical="center"/>
    </xf>
    <xf numFmtId="0" fontId="61" fillId="0" borderId="158" xfId="0" applyFont="1" applyBorder="1" applyAlignment="1">
      <alignment vertical="center"/>
    </xf>
    <xf numFmtId="165" fontId="61" fillId="0" borderId="158" xfId="0" applyNumberFormat="1" applyFont="1" applyBorder="1" applyAlignment="1">
      <alignment horizontal="right" vertical="center"/>
    </xf>
    <xf numFmtId="0" fontId="61" fillId="0" borderId="158" xfId="0" applyFont="1" applyBorder="1" applyAlignment="1">
      <alignment horizontal="right" vertical="center"/>
    </xf>
    <xf numFmtId="0" fontId="61" fillId="32" borderId="158" xfId="0" applyFont="1" applyFill="1" applyBorder="1" applyAlignment="1">
      <alignment vertical="center"/>
    </xf>
    <xf numFmtId="165" fontId="61" fillId="32" borderId="158" xfId="0" applyNumberFormat="1" applyFont="1" applyFill="1" applyBorder="1" applyAlignment="1">
      <alignment horizontal="right" vertical="center"/>
    </xf>
    <xf numFmtId="0" fontId="61" fillId="32" borderId="158" xfId="0" applyFont="1" applyFill="1" applyBorder="1" applyAlignment="1">
      <alignment horizontal="right" vertical="center"/>
    </xf>
    <xf numFmtId="169" fontId="14" fillId="5" borderId="0" xfId="0" applyNumberFormat="1" applyFont="1" applyFill="1" applyAlignment="1">
      <alignment horizontal="center" vertical="center"/>
    </xf>
    <xf numFmtId="0" fontId="12" fillId="5" borderId="120" xfId="1" applyFont="1" applyFill="1" applyBorder="1" applyAlignment="1">
      <alignment horizontal="center" vertical="center" wrapText="1"/>
    </xf>
    <xf numFmtId="0" fontId="12" fillId="5" borderId="119" xfId="1" applyFont="1" applyFill="1" applyBorder="1" applyAlignment="1">
      <alignment horizontal="center" vertical="center" wrapText="1"/>
    </xf>
    <xf numFmtId="0" fontId="12" fillId="5" borderId="118" xfId="1" applyFont="1" applyFill="1" applyBorder="1" applyAlignment="1">
      <alignment horizontal="center" vertical="center" wrapText="1"/>
    </xf>
    <xf numFmtId="0" fontId="28" fillId="5" borderId="115" xfId="1" applyFont="1" applyFill="1" applyBorder="1" applyAlignment="1">
      <alignment horizontal="center" vertical="center" wrapText="1"/>
    </xf>
    <xf numFmtId="0" fontId="12" fillId="5" borderId="113" xfId="1" applyFont="1" applyFill="1" applyBorder="1" applyAlignment="1">
      <alignment horizontal="center" vertical="center" wrapText="1"/>
    </xf>
    <xf numFmtId="0" fontId="46" fillId="0" borderId="0" xfId="0" applyFont="1" applyAlignment="1">
      <alignment horizontal="center" vertical="center"/>
    </xf>
    <xf numFmtId="0" fontId="28" fillId="5" borderId="125" xfId="1" applyFont="1" applyFill="1" applyBorder="1" applyAlignment="1">
      <alignment horizontal="center" vertical="center" wrapText="1"/>
    </xf>
    <xf numFmtId="0" fontId="28" fillId="5" borderId="124" xfId="1" applyFont="1" applyFill="1" applyBorder="1" applyAlignment="1">
      <alignment horizontal="center" vertical="center" wrapText="1"/>
    </xf>
    <xf numFmtId="0" fontId="28" fillId="5" borderId="123" xfId="1" applyFont="1" applyFill="1" applyBorder="1" applyAlignment="1">
      <alignment horizontal="center" vertical="center" wrapText="1"/>
    </xf>
    <xf numFmtId="0" fontId="49" fillId="5" borderId="0" xfId="0" applyFont="1" applyFill="1" applyAlignment="1">
      <alignment horizontal="center" vertical="center"/>
    </xf>
    <xf numFmtId="0" fontId="49" fillId="5" borderId="112" xfId="0" applyFont="1" applyFill="1" applyBorder="1" applyAlignment="1">
      <alignment horizontal="center" vertical="center"/>
    </xf>
    <xf numFmtId="0" fontId="12" fillId="24" borderId="117" xfId="0" applyFont="1" applyFill="1" applyBorder="1" applyAlignment="1">
      <alignment horizontal="center" vertical="center"/>
    </xf>
    <xf numFmtId="0" fontId="12" fillId="23" borderId="116" xfId="0" applyFont="1" applyFill="1" applyBorder="1" applyAlignment="1">
      <alignment horizontal="center" vertical="center"/>
    </xf>
    <xf numFmtId="0" fontId="48" fillId="23" borderId="126" xfId="0" applyFont="1" applyFill="1" applyBorder="1" applyAlignment="1">
      <alignment horizontal="center" vertical="center"/>
    </xf>
    <xf numFmtId="0" fontId="17" fillId="5" borderId="114" xfId="1" applyFont="1" applyFill="1" applyBorder="1" applyAlignment="1">
      <alignment horizontal="center" vertical="center" wrapText="1"/>
    </xf>
    <xf numFmtId="0" fontId="35" fillId="16" borderId="121" xfId="0" applyFont="1" applyFill="1" applyBorder="1" applyAlignment="1">
      <alignment horizontal="center" vertical="center"/>
    </xf>
    <xf numFmtId="0" fontId="47" fillId="2" borderId="122" xfId="0" applyFont="1" applyFill="1" applyBorder="1" applyAlignment="1">
      <alignment horizontal="center" vertical="center" wrapText="1"/>
    </xf>
    <xf numFmtId="0" fontId="66" fillId="18" borderId="150" xfId="0" applyFont="1" applyFill="1" applyBorder="1" applyAlignment="1">
      <alignment horizontal="center" vertical="center"/>
    </xf>
    <xf numFmtId="0" fontId="22" fillId="9" borderId="99" xfId="0" applyFont="1" applyFill="1" applyBorder="1" applyAlignment="1">
      <alignment horizontal="center" vertical="center" wrapText="1"/>
    </xf>
    <xf numFmtId="0" fontId="22" fillId="9" borderId="98" xfId="0" applyFont="1" applyFill="1" applyBorder="1" applyAlignment="1">
      <alignment horizontal="center" vertical="center" wrapText="1"/>
    </xf>
    <xf numFmtId="0" fontId="57" fillId="0" borderId="100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 wrapText="1"/>
    </xf>
    <xf numFmtId="0" fontId="14" fillId="5" borderId="111" xfId="0" applyFont="1" applyFill="1" applyBorder="1" applyAlignment="1">
      <alignment horizontal="center" vertical="center"/>
    </xf>
    <xf numFmtId="0" fontId="22" fillId="9" borderId="102" xfId="0" applyFont="1" applyFill="1" applyBorder="1" applyAlignment="1">
      <alignment horizontal="center" vertical="center"/>
    </xf>
    <xf numFmtId="0" fontId="22" fillId="9" borderId="101" xfId="0" applyFont="1" applyFill="1" applyBorder="1" applyAlignment="1">
      <alignment horizontal="center" vertical="center"/>
    </xf>
    <xf numFmtId="0" fontId="14" fillId="6" borderId="110" xfId="0" applyFont="1" applyFill="1" applyBorder="1" applyAlignment="1">
      <alignment horizontal="center" vertical="center" wrapText="1"/>
    </xf>
    <xf numFmtId="0" fontId="14" fillId="6" borderId="109" xfId="0" applyFont="1" applyFill="1" applyBorder="1" applyAlignment="1">
      <alignment horizontal="center" vertical="center" wrapText="1"/>
    </xf>
    <xf numFmtId="164" fontId="22" fillId="9" borderId="104" xfId="0" applyNumberFormat="1" applyFont="1" applyFill="1" applyBorder="1" applyAlignment="1">
      <alignment horizontal="center" vertical="center" wrapText="1"/>
    </xf>
    <xf numFmtId="164" fontId="22" fillId="9" borderId="103" xfId="0" applyNumberFormat="1" applyFont="1" applyFill="1" applyBorder="1" applyAlignment="1">
      <alignment horizontal="center" vertical="center" wrapText="1"/>
    </xf>
    <xf numFmtId="0" fontId="59" fillId="5" borderId="108" xfId="0" applyFont="1" applyFill="1" applyBorder="1" applyAlignment="1">
      <alignment horizontal="center" vertical="center" wrapText="1"/>
    </xf>
    <xf numFmtId="0" fontId="59" fillId="5" borderId="107" xfId="0" applyFont="1" applyFill="1" applyBorder="1" applyAlignment="1">
      <alignment horizontal="center" vertical="center" wrapText="1"/>
    </xf>
    <xf numFmtId="0" fontId="22" fillId="8" borderId="106" xfId="0" applyFont="1" applyFill="1" applyBorder="1" applyAlignment="1">
      <alignment horizontal="center" vertical="center" wrapText="1"/>
    </xf>
    <xf numFmtId="0" fontId="22" fillId="8" borderId="105" xfId="0" applyFont="1" applyFill="1" applyBorder="1" applyAlignment="1">
      <alignment horizontal="center" vertical="center" wrapText="1"/>
    </xf>
    <xf numFmtId="0" fontId="16" fillId="14" borderId="127" xfId="0" applyFont="1" applyFill="1" applyBorder="1" applyAlignment="1">
      <alignment horizontal="center" vertical="center"/>
    </xf>
    <xf numFmtId="0" fontId="12" fillId="25" borderId="128" xfId="0" applyFont="1" applyFill="1" applyBorder="1" applyAlignment="1">
      <alignment horizontal="center" vertical="center"/>
    </xf>
    <xf numFmtId="0" fontId="63" fillId="27" borderId="131" xfId="0" applyFont="1" applyFill="1" applyBorder="1" applyAlignment="1">
      <alignment horizontal="center"/>
    </xf>
    <xf numFmtId="0" fontId="64" fillId="0" borderId="130" xfId="0" applyFont="1" applyBorder="1"/>
    <xf numFmtId="0" fontId="64" fillId="0" borderId="129" xfId="0" applyFont="1" applyBorder="1"/>
    <xf numFmtId="0" fontId="61" fillId="0" borderId="0" xfId="0" applyFont="1" applyAlignment="1">
      <alignment horizontal="left"/>
    </xf>
    <xf numFmtId="0" fontId="0" fillId="0" borderId="0" xfId="0"/>
    <xf numFmtId="0" fontId="62" fillId="0" borderId="0" xfId="0" applyFont="1" applyAlignment="1">
      <alignment horizontal="left"/>
    </xf>
    <xf numFmtId="0" fontId="62" fillId="27" borderId="0" xfId="0" applyFont="1" applyFill="1" applyAlignment="1">
      <alignment horizontal="center"/>
    </xf>
    <xf numFmtId="0" fontId="12" fillId="5" borderId="133" xfId="5" applyFont="1" applyFill="1" applyBorder="1" applyAlignment="1">
      <alignment horizontal="center" vertical="center" wrapText="1"/>
    </xf>
    <xf numFmtId="0" fontId="12" fillId="5" borderId="132" xfId="5" applyFont="1" applyFill="1" applyBorder="1" applyAlignment="1">
      <alignment horizontal="center" vertical="center" wrapText="1"/>
    </xf>
    <xf numFmtId="0" fontId="46" fillId="5" borderId="137" xfId="0" applyFont="1" applyFill="1" applyBorder="1" applyAlignment="1">
      <alignment horizontal="center" vertical="center" wrapText="1"/>
    </xf>
    <xf numFmtId="0" fontId="46" fillId="5" borderId="136" xfId="0" applyFont="1" applyFill="1" applyBorder="1" applyAlignment="1">
      <alignment horizontal="center" vertical="center" wrapText="1"/>
    </xf>
    <xf numFmtId="0" fontId="50" fillId="5" borderId="135" xfId="5" applyFont="1" applyFill="1" applyBorder="1" applyAlignment="1">
      <alignment horizontal="center" vertical="center" wrapText="1"/>
    </xf>
    <xf numFmtId="0" fontId="50" fillId="5" borderId="134" xfId="5" applyFont="1" applyFill="1" applyBorder="1" applyAlignment="1">
      <alignment horizontal="center" vertical="center" wrapText="1"/>
    </xf>
    <xf numFmtId="0" fontId="38" fillId="17" borderId="139" xfId="0" applyFont="1" applyFill="1" applyBorder="1" applyAlignment="1">
      <alignment horizontal="center" vertical="center"/>
    </xf>
    <xf numFmtId="0" fontId="38" fillId="17" borderId="138" xfId="0" applyFont="1" applyFill="1" applyBorder="1" applyAlignment="1">
      <alignment horizontal="center" vertical="center"/>
    </xf>
    <xf numFmtId="0" fontId="17" fillId="8" borderId="141" xfId="0" applyFont="1" applyFill="1" applyBorder="1" applyAlignment="1">
      <alignment horizontal="center" vertical="center"/>
    </xf>
    <xf numFmtId="0" fontId="17" fillId="8" borderId="140" xfId="0" applyFont="1" applyFill="1" applyBorder="1" applyAlignment="1">
      <alignment horizontal="center" vertical="center"/>
    </xf>
    <xf numFmtId="0" fontId="1" fillId="0" borderId="144" xfId="0" applyFont="1" applyBorder="1" applyAlignment="1">
      <alignment horizontal="center" vertical="center"/>
    </xf>
    <xf numFmtId="0" fontId="51" fillId="5" borderId="146" xfId="0" applyFont="1" applyFill="1" applyBorder="1" applyAlignment="1">
      <alignment horizontal="center" vertical="center" wrapText="1"/>
    </xf>
    <xf numFmtId="0" fontId="51" fillId="5" borderId="145" xfId="0" applyFont="1" applyFill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52" fillId="0" borderId="147" xfId="0" applyFont="1" applyBorder="1" applyAlignment="1">
      <alignment horizontal="center" vertical="center"/>
    </xf>
    <xf numFmtId="0" fontId="53" fillId="0" borderId="148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0" borderId="149" xfId="0" applyFont="1" applyBorder="1" applyAlignment="1">
      <alignment horizontal="center" vertical="center"/>
    </xf>
    <xf numFmtId="0" fontId="26" fillId="11" borderId="143" xfId="1" applyFont="1" applyFill="1" applyBorder="1" applyAlignment="1">
      <alignment horizontal="center" vertical="center" wrapText="1"/>
    </xf>
    <xf numFmtId="0" fontId="26" fillId="11" borderId="142" xfId="1" applyFont="1" applyFill="1" applyBorder="1" applyAlignment="1">
      <alignment horizontal="center" vertical="center" wrapText="1"/>
    </xf>
    <xf numFmtId="0" fontId="44" fillId="2" borderId="0" xfId="0" applyFont="1" applyFill="1" applyAlignment="1">
      <alignment horizontal="center"/>
    </xf>
    <xf numFmtId="0" fontId="31" fillId="0" borderId="0" xfId="0" applyFont="1" applyAlignment="1">
      <alignment horizontal="center" vertical="center"/>
    </xf>
    <xf numFmtId="0" fontId="31" fillId="0" borderId="155" xfId="0" applyFont="1" applyBorder="1" applyAlignment="1">
      <alignment horizontal="left" vertical="center"/>
    </xf>
    <xf numFmtId="0" fontId="44" fillId="21" borderId="154" xfId="0" applyFont="1" applyFill="1" applyBorder="1" applyAlignment="1">
      <alignment horizontal="center" vertical="center"/>
    </xf>
    <xf numFmtId="0" fontId="44" fillId="21" borderId="156" xfId="0" applyFont="1" applyFill="1" applyBorder="1" applyAlignment="1">
      <alignment horizontal="center" vertical="center"/>
    </xf>
    <xf numFmtId="0" fontId="15" fillId="0" borderId="151" xfId="0" applyFont="1" applyBorder="1"/>
    <xf numFmtId="0" fontId="15" fillId="0" borderId="157" xfId="0" applyFont="1" applyBorder="1"/>
    <xf numFmtId="0" fontId="15" fillId="0" borderId="158" xfId="0" applyFont="1" applyBorder="1"/>
    <xf numFmtId="0" fontId="44" fillId="21" borderId="152" xfId="0" applyFont="1" applyFill="1" applyBorder="1" applyAlignment="1">
      <alignment horizontal="center" vertical="center"/>
    </xf>
    <xf numFmtId="0" fontId="15" fillId="0" borderId="153" xfId="0" applyFont="1" applyBorder="1"/>
    <xf numFmtId="0" fontId="68" fillId="29" borderId="150" xfId="0" applyFont="1" applyFill="1" applyBorder="1" applyAlignment="1">
      <alignment horizontal="center" vertical="center"/>
    </xf>
    <xf numFmtId="0" fontId="68" fillId="29" borderId="150" xfId="0" applyFont="1" applyFill="1" applyBorder="1" applyAlignment="1">
      <alignment horizontal="center" vertical="center" wrapText="1"/>
    </xf>
    <xf numFmtId="0" fontId="65" fillId="0" borderId="95" xfId="11" applyFont="1" applyBorder="1"/>
    <xf numFmtId="0" fontId="65" fillId="0" borderId="94" xfId="11" applyFont="1" applyBorder="1"/>
    <xf numFmtId="0" fontId="61" fillId="0" borderId="94" xfId="11" applyFont="1" applyBorder="1"/>
    <xf numFmtId="0" fontId="65" fillId="0" borderId="162" xfId="11" applyFont="1" applyBorder="1"/>
  </cellXfs>
  <cellStyles count="12">
    <cellStyle name="Comma" xfId="8" builtinId="3"/>
    <cellStyle name="Comma 13" xfId="10" xr:uid="{00000000-0005-0000-0000-00000A000000}"/>
    <cellStyle name="Explanatory Text" xfId="1" builtinId="53"/>
    <cellStyle name="Neutral" xfId="7" builtinId="28"/>
    <cellStyle name="Normal" xfId="0" builtinId="0"/>
    <cellStyle name="Normal 2" xfId="11" xr:uid="{5125CA19-A2E9-427F-97ED-3DC9FB88EB44}"/>
    <cellStyle name="Normal 2 2" xfId="4" xr:uid="{00000000-0005-0000-0000-000004000000}"/>
    <cellStyle name="Normal 4" xfId="5" xr:uid="{00000000-0005-0000-0000-000005000000}"/>
    <cellStyle name="Normal 6" xfId="3" xr:uid="{00000000-0005-0000-0000-000003000000}"/>
    <cellStyle name="Normal 7" xfId="6" xr:uid="{00000000-0005-0000-0000-000006000000}"/>
    <cellStyle name="Normal 8" xfId="9" xr:uid="{00000000-0005-0000-0000-000009000000}"/>
    <cellStyle name="Percent" xfId="2" builtinId="5"/>
  </cellStyles>
  <dxfs count="45">
    <dxf>
      <font>
        <b/>
        <color rgb="FF0070C0"/>
      </font>
    </dxf>
    <dxf>
      <font>
        <b/>
        <color rgb="FFFF0000"/>
      </font>
    </dxf>
    <dxf>
      <font>
        <b/>
        <color rgb="FF0070C0"/>
      </font>
    </dxf>
    <dxf>
      <font>
        <b/>
        <color rgb="FFFF0000"/>
      </font>
    </dxf>
    <dxf>
      <font>
        <b/>
      </font>
      <fill>
        <patternFill>
          <bgColor rgb="FFFF0000"/>
        </patternFill>
      </fill>
    </dxf>
    <dxf>
      <font>
        <b/>
        <color rgb="FFFF0000"/>
      </font>
    </dxf>
    <dxf>
      <font>
        <b/>
        <color rgb="FF0070C0"/>
      </font>
    </dxf>
    <dxf>
      <font>
        <b/>
      </font>
      <fill>
        <patternFill>
          <bgColor rgb="FFFF0000"/>
        </patternFill>
      </fill>
    </dxf>
    <dxf>
      <font>
        <b/>
        <color rgb="FFFF0000"/>
      </font>
    </dxf>
    <dxf>
      <font>
        <b/>
        <color rgb="FF0070C0"/>
      </font>
    </dxf>
    <dxf>
      <font>
        <b/>
        <color rgb="FF0070C0"/>
      </font>
    </dxf>
    <dxf>
      <font>
        <b/>
        <color rgb="FFFF0000"/>
      </font>
    </dxf>
    <dxf>
      <font>
        <b/>
      </font>
      <fill>
        <patternFill>
          <bgColor rgb="FFFF0000"/>
        </patternFill>
      </fill>
    </dxf>
    <dxf>
      <font>
        <b/>
        <color rgb="FFFF0000"/>
      </font>
    </dxf>
    <dxf>
      <font>
        <b/>
        <color rgb="FF0070C0"/>
      </font>
    </dxf>
    <dxf>
      <font>
        <b/>
        <color rgb="FFFF0000"/>
      </font>
    </dxf>
    <dxf>
      <font>
        <b/>
        <color rgb="FF0070C0"/>
      </font>
    </dxf>
    <dxf>
      <font>
        <b/>
        <color rgb="FFFF0000"/>
      </font>
    </dxf>
    <dxf>
      <font>
        <b/>
        <color rgb="FF0070C0"/>
      </font>
    </dxf>
    <dxf>
      <fill>
        <patternFill>
          <bgColor rgb="FFFF0000"/>
        </patternFill>
      </fill>
    </dxf>
    <dxf>
      <font>
        <b/>
        <color rgb="FFFF0000"/>
      </font>
    </dxf>
    <dxf>
      <font>
        <b/>
        <color rgb="FF0070C0"/>
      </font>
    </dxf>
    <dxf>
      <font>
        <b/>
        <i/>
      </font>
      <fill>
        <patternFill>
          <bgColor rgb="FFEE0000"/>
        </patternFill>
      </fill>
    </dxf>
    <dxf>
      <font>
        <b/>
        <color rgb="FF0070C0"/>
      </font>
    </dxf>
    <dxf>
      <font>
        <b/>
        <color rgb="FFFF0000"/>
      </font>
    </dxf>
    <dxf>
      <fill>
        <patternFill>
          <bgColor rgb="FFFF0000"/>
        </patternFill>
      </fill>
    </dxf>
    <dxf>
      <font>
        <b/>
        <color rgb="FFFF0000"/>
      </font>
    </dxf>
    <dxf>
      <font>
        <b/>
        <color rgb="FF0070C0"/>
      </font>
    </dxf>
    <dxf>
      <font>
        <b/>
        <color rgb="FF0070C0"/>
      </font>
    </dxf>
    <dxf>
      <font>
        <b/>
        <color rgb="FFFF0000"/>
      </font>
    </dxf>
    <dxf>
      <font>
        <b/>
        <color rgb="FFFF0000"/>
      </font>
    </dxf>
    <dxf>
      <font>
        <b/>
        <color rgb="FF0070C0"/>
      </font>
    </dxf>
    <dxf>
      <font>
        <b/>
        <color rgb="FF0070C0"/>
      </font>
    </dxf>
    <dxf>
      <font>
        <b/>
        <color rgb="FFFF0000"/>
      </font>
    </dxf>
    <dxf>
      <font>
        <b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/>
      </font>
      <fill>
        <patternFill>
          <bgColor rgb="FFEE0000"/>
        </patternFill>
      </fill>
    </dxf>
    <dxf>
      <font>
        <b/>
        <color rgb="FFFF0000"/>
      </font>
    </dxf>
    <dxf>
      <font>
        <b/>
        <color rgb="FF0070C0"/>
      </font>
    </dxf>
    <dxf>
      <font>
        <b/>
      </font>
      <fill>
        <patternFill>
          <bgColor rgb="FFFF0000"/>
        </patternFill>
      </fill>
    </dxf>
    <dxf>
      <font>
        <b/>
        <color rgb="FFFF0000"/>
      </font>
    </dxf>
    <dxf>
      <font>
        <b/>
        <color rgb="FF0070C0"/>
      </font>
    </dxf>
    <dxf>
      <font>
        <b/>
        <color rgb="FF0070C0"/>
      </font>
    </dxf>
    <dxf>
      <font>
        <b/>
        <color rgb="FFFF0000"/>
      </font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YY33"/>
  <sheetViews>
    <sheetView zoomScale="80" zoomScaleNormal="80" workbookViewId="0">
      <pane xSplit="2" topLeftCell="C1" activePane="topRight" state="frozen"/>
      <selection pane="topRight" activeCell="AM22" sqref="AM22"/>
    </sheetView>
  </sheetViews>
  <sheetFormatPr defaultColWidth="9" defaultRowHeight="15.75" x14ac:dyDescent="0.45"/>
  <cols>
    <col min="1" max="1" width="25.46484375" customWidth="1"/>
    <col min="2" max="2" width="27.1328125" style="6" customWidth="1"/>
    <col min="3" max="3" width="29.796875" customWidth="1"/>
    <col min="4" max="4" width="6.6640625" customWidth="1"/>
    <col min="5" max="5" width="7" style="5" customWidth="1"/>
    <col min="6" max="6" width="7.19921875" style="5" customWidth="1"/>
    <col min="7" max="7" width="6.796875" style="5" customWidth="1"/>
    <col min="8" max="8" width="6.1328125" customWidth="1"/>
    <col min="9" max="9" width="6.46484375" style="5" customWidth="1"/>
    <col min="10" max="10" width="7.86328125" style="30" customWidth="1"/>
    <col min="11" max="11" width="8" style="5" customWidth="1"/>
    <col min="12" max="12" width="5.19921875" customWidth="1"/>
    <col min="13" max="13" width="6" style="5" customWidth="1"/>
    <col min="14" max="14" width="7.1328125" style="5" customWidth="1"/>
    <col min="15" max="15" width="6.796875" style="5" customWidth="1"/>
    <col min="16" max="17" width="5.19921875" customWidth="1"/>
    <col min="18" max="19" width="6.796875" style="5" customWidth="1"/>
    <col min="20" max="20" width="5.19921875" customWidth="1"/>
    <col min="21" max="21" width="8.19921875" style="5" customWidth="1"/>
    <col min="22" max="22" width="7.1328125" style="30" customWidth="1"/>
    <col min="23" max="23" width="5.6640625" style="5" customWidth="1"/>
    <col min="24" max="25" width="5.19921875" customWidth="1"/>
    <col min="26" max="26" width="9" style="30" customWidth="1"/>
    <col min="27" max="27" width="6.796875" style="5" customWidth="1"/>
    <col min="28" max="29" width="5.19921875" customWidth="1"/>
    <col min="30" max="30" width="7.1328125" style="30" customWidth="1"/>
    <col min="31" max="31" width="6.796875" style="5" customWidth="1"/>
    <col min="32" max="33" width="5.19921875" customWidth="1"/>
    <col min="34" max="34" width="7.1328125" style="30" customWidth="1"/>
    <col min="35" max="35" width="6.796875" style="5" customWidth="1"/>
    <col min="36" max="36" width="6" customWidth="1"/>
    <col min="37" max="37" width="7" style="5" customWidth="1"/>
    <col min="38" max="38" width="7.46484375" style="30" customWidth="1"/>
    <col min="39" max="39" width="14.06640625" style="5" customWidth="1"/>
    <col min="40" max="41" width="5.19921875" customWidth="1"/>
    <col min="42" max="43" width="7.86328125" style="30" customWidth="1"/>
    <col min="45" max="45" width="9.1328125" style="5" customWidth="1"/>
    <col min="46" max="46" width="7.19921875" style="30" customWidth="1"/>
    <col min="47" max="47" width="6.796875" style="5" customWidth="1"/>
    <col min="48" max="48" width="5.19921875" customWidth="1"/>
    <col min="49" max="49" width="10.46484375" style="5" customWidth="1"/>
    <col min="50" max="50" width="9.46484375" style="30" customWidth="1"/>
    <col min="51" max="51" width="6.796875" style="5" customWidth="1"/>
    <col min="52" max="52" width="5.19921875" customWidth="1"/>
    <col min="53" max="53" width="8.06640625" style="5" customWidth="1"/>
    <col min="54" max="54" width="8.86328125" style="30" customWidth="1"/>
    <col min="55" max="55" width="5.86328125" style="5" customWidth="1"/>
    <col min="56" max="56" width="5.19921875" customWidth="1"/>
    <col min="57" max="57" width="7.73046875" style="5" customWidth="1"/>
    <col min="58" max="58" width="6.796875" style="30" customWidth="1"/>
    <col min="59" max="59" width="6" style="5" customWidth="1"/>
  </cols>
  <sheetData>
    <row r="1" spans="1:675" ht="23" customHeight="1" x14ac:dyDescent="0.45">
      <c r="A1" s="15">
        <v>1</v>
      </c>
      <c r="B1" s="69">
        <v>2</v>
      </c>
      <c r="C1" s="15">
        <v>3</v>
      </c>
      <c r="D1" s="69">
        <v>4</v>
      </c>
      <c r="E1" s="15">
        <v>5</v>
      </c>
      <c r="F1" s="69">
        <v>6</v>
      </c>
      <c r="G1" s="15">
        <v>7</v>
      </c>
      <c r="H1" s="69">
        <v>8</v>
      </c>
      <c r="I1" s="15">
        <v>9</v>
      </c>
      <c r="J1" s="69">
        <v>10</v>
      </c>
      <c r="K1" s="15">
        <v>11</v>
      </c>
      <c r="L1" s="69">
        <v>12</v>
      </c>
      <c r="M1" s="15">
        <v>13</v>
      </c>
      <c r="N1" s="69">
        <v>14</v>
      </c>
      <c r="O1" s="15">
        <v>15</v>
      </c>
      <c r="P1" s="69">
        <v>16</v>
      </c>
      <c r="Q1" s="15">
        <v>17</v>
      </c>
      <c r="R1" s="69">
        <v>18</v>
      </c>
      <c r="S1" s="15">
        <v>19</v>
      </c>
      <c r="T1" s="69">
        <v>20</v>
      </c>
      <c r="U1" s="15">
        <v>21</v>
      </c>
      <c r="V1" s="69">
        <v>22</v>
      </c>
      <c r="W1" s="15">
        <v>23</v>
      </c>
      <c r="X1" s="69">
        <v>24</v>
      </c>
      <c r="Y1" s="15">
        <v>25</v>
      </c>
      <c r="Z1" s="69">
        <v>26</v>
      </c>
      <c r="AA1" s="15">
        <v>27</v>
      </c>
      <c r="AB1" s="69">
        <v>28</v>
      </c>
      <c r="AC1" s="15">
        <v>29</v>
      </c>
      <c r="AD1" s="69">
        <v>30</v>
      </c>
      <c r="AE1" s="15">
        <v>31</v>
      </c>
      <c r="AF1" s="69">
        <v>32</v>
      </c>
      <c r="AG1" s="15">
        <v>33</v>
      </c>
      <c r="AH1" s="69">
        <v>34</v>
      </c>
      <c r="AI1" s="15">
        <v>35</v>
      </c>
      <c r="AJ1" s="69">
        <v>36</v>
      </c>
      <c r="AK1" s="15">
        <v>37</v>
      </c>
      <c r="AL1" s="69">
        <v>38</v>
      </c>
      <c r="AM1" s="15">
        <v>39</v>
      </c>
      <c r="AN1" s="69">
        <v>40</v>
      </c>
      <c r="AO1" s="15">
        <v>41</v>
      </c>
      <c r="AP1" s="69">
        <v>42</v>
      </c>
      <c r="AQ1" s="15">
        <v>43</v>
      </c>
      <c r="AR1" s="69">
        <v>44</v>
      </c>
      <c r="AS1" s="15">
        <v>45</v>
      </c>
      <c r="AT1" s="69">
        <v>46</v>
      </c>
      <c r="AU1" s="15">
        <v>47</v>
      </c>
      <c r="AV1" s="69">
        <v>48</v>
      </c>
      <c r="AW1" s="15">
        <v>49</v>
      </c>
      <c r="AX1" s="69">
        <v>50</v>
      </c>
      <c r="AY1" s="15">
        <v>51</v>
      </c>
      <c r="AZ1" s="69">
        <v>52</v>
      </c>
      <c r="BA1" s="15">
        <v>53</v>
      </c>
      <c r="BB1" s="69">
        <v>54</v>
      </c>
      <c r="BC1" s="15">
        <v>55</v>
      </c>
      <c r="BD1" s="69">
        <v>56</v>
      </c>
      <c r="BE1" s="15">
        <v>57</v>
      </c>
      <c r="BF1" s="69">
        <v>58</v>
      </c>
      <c r="BG1" s="15">
        <v>59</v>
      </c>
    </row>
    <row r="2" spans="1:675" ht="23.75" customHeight="1" x14ac:dyDescent="0.45">
      <c r="A2" s="189" t="s">
        <v>34</v>
      </c>
      <c r="B2" s="69"/>
      <c r="C2" s="15"/>
      <c r="D2" s="195" t="s">
        <v>35</v>
      </c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3" t="s">
        <v>36</v>
      </c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2" t="s">
        <v>37</v>
      </c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1" t="s">
        <v>38</v>
      </c>
      <c r="AW2" s="191"/>
      <c r="AX2" s="191"/>
      <c r="AY2" s="191"/>
      <c r="AZ2" s="191"/>
      <c r="BA2" s="191"/>
      <c r="BB2" s="191"/>
      <c r="BC2" s="191"/>
      <c r="BD2" s="191"/>
      <c r="BE2" s="191"/>
      <c r="BF2" s="191"/>
      <c r="BG2" s="191"/>
    </row>
    <row r="3" spans="1:675" s="3" customFormat="1" ht="28.25" customHeight="1" x14ac:dyDescent="0.3">
      <c r="A3" s="189"/>
      <c r="B3" s="196" t="s">
        <v>39</v>
      </c>
      <c r="C3" s="70"/>
      <c r="D3" s="183" t="s">
        <v>3</v>
      </c>
      <c r="E3" s="184"/>
      <c r="F3" s="184"/>
      <c r="G3" s="184"/>
      <c r="H3" s="183" t="s">
        <v>40</v>
      </c>
      <c r="I3" s="184"/>
      <c r="J3" s="184"/>
      <c r="K3" s="184"/>
      <c r="L3" s="183" t="s">
        <v>41</v>
      </c>
      <c r="M3" s="184"/>
      <c r="N3" s="184"/>
      <c r="O3" s="184"/>
      <c r="P3" s="186" t="s">
        <v>42</v>
      </c>
      <c r="Q3" s="187"/>
      <c r="R3" s="187"/>
      <c r="S3" s="188"/>
      <c r="T3" s="183" t="s">
        <v>43</v>
      </c>
      <c r="U3" s="184"/>
      <c r="V3" s="184"/>
      <c r="W3" s="184"/>
      <c r="X3" s="183" t="s">
        <v>45</v>
      </c>
      <c r="Y3" s="184"/>
      <c r="Z3" s="184"/>
      <c r="AA3" s="184"/>
      <c r="AB3" s="183" t="s">
        <v>47</v>
      </c>
      <c r="AC3" s="184"/>
      <c r="AD3" s="184"/>
      <c r="AE3" s="184"/>
      <c r="AF3" s="183" t="s">
        <v>48</v>
      </c>
      <c r="AG3" s="184"/>
      <c r="AH3" s="184"/>
      <c r="AI3" s="184"/>
      <c r="AJ3" s="180" t="s">
        <v>51</v>
      </c>
      <c r="AK3" s="181"/>
      <c r="AL3" s="181"/>
      <c r="AM3" s="182"/>
      <c r="AN3" s="180" t="s">
        <v>14</v>
      </c>
      <c r="AO3" s="181"/>
      <c r="AP3" s="181"/>
      <c r="AQ3" s="182"/>
      <c r="AR3" s="180" t="s">
        <v>52</v>
      </c>
      <c r="AS3" s="181"/>
      <c r="AT3" s="181"/>
      <c r="AU3" s="182"/>
      <c r="AV3" s="184" t="s">
        <v>16</v>
      </c>
      <c r="AW3" s="184"/>
      <c r="AX3" s="184"/>
      <c r="AY3" s="184"/>
      <c r="AZ3" s="184" t="s">
        <v>54</v>
      </c>
      <c r="BA3" s="184"/>
      <c r="BB3" s="184"/>
      <c r="BC3" s="184"/>
      <c r="BD3" s="183" t="s">
        <v>55</v>
      </c>
      <c r="BE3" s="184"/>
      <c r="BF3" s="194"/>
      <c r="BG3" s="184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</row>
    <row r="4" spans="1:675" s="4" customFormat="1" ht="30" customHeight="1" x14ac:dyDescent="0.45">
      <c r="A4" s="190"/>
      <c r="B4" s="196"/>
      <c r="C4" s="71"/>
      <c r="D4" s="8" t="s">
        <v>2</v>
      </c>
      <c r="E4" s="9" t="s">
        <v>58</v>
      </c>
      <c r="F4" s="9" t="s">
        <v>4</v>
      </c>
      <c r="G4" s="45" t="s">
        <v>59</v>
      </c>
      <c r="H4" s="8" t="s">
        <v>2</v>
      </c>
      <c r="I4" s="9" t="s">
        <v>58</v>
      </c>
      <c r="J4" s="31" t="s">
        <v>4</v>
      </c>
      <c r="K4" s="45" t="s">
        <v>59</v>
      </c>
      <c r="L4" s="8" t="s">
        <v>2</v>
      </c>
      <c r="M4" s="9" t="s">
        <v>58</v>
      </c>
      <c r="N4" s="9" t="s">
        <v>4</v>
      </c>
      <c r="O4" s="45" t="s">
        <v>59</v>
      </c>
      <c r="P4" s="8" t="s">
        <v>2</v>
      </c>
      <c r="Q4" s="9" t="s">
        <v>58</v>
      </c>
      <c r="R4" s="9" t="s">
        <v>4</v>
      </c>
      <c r="S4" s="45" t="s">
        <v>59</v>
      </c>
      <c r="T4" s="8" t="s">
        <v>2</v>
      </c>
      <c r="U4" s="9" t="s">
        <v>58</v>
      </c>
      <c r="V4" s="31" t="s">
        <v>4</v>
      </c>
      <c r="W4" s="10" t="s">
        <v>59</v>
      </c>
      <c r="X4" s="8" t="s">
        <v>2</v>
      </c>
      <c r="Y4" s="9" t="s">
        <v>58</v>
      </c>
      <c r="Z4" s="31" t="s">
        <v>4</v>
      </c>
      <c r="AA4" s="45" t="s">
        <v>59</v>
      </c>
      <c r="AB4" s="22" t="s">
        <v>2</v>
      </c>
      <c r="AC4" s="9" t="s">
        <v>58</v>
      </c>
      <c r="AD4" s="31" t="s">
        <v>4</v>
      </c>
      <c r="AE4" s="45" t="s">
        <v>59</v>
      </c>
      <c r="AF4" s="22" t="s">
        <v>2</v>
      </c>
      <c r="AG4" s="9" t="s">
        <v>58</v>
      </c>
      <c r="AH4" s="31" t="s">
        <v>4</v>
      </c>
      <c r="AI4" s="45" t="s">
        <v>59</v>
      </c>
      <c r="AJ4" s="22" t="s">
        <v>2</v>
      </c>
      <c r="AK4" s="9" t="s">
        <v>58</v>
      </c>
      <c r="AL4" s="14" t="s">
        <v>4</v>
      </c>
      <c r="AM4" s="47" t="s">
        <v>60</v>
      </c>
      <c r="AN4" s="8" t="s">
        <v>2</v>
      </c>
      <c r="AO4" s="9" t="s">
        <v>58</v>
      </c>
      <c r="AP4" s="14" t="s">
        <v>4</v>
      </c>
      <c r="AQ4" s="60" t="s">
        <v>60</v>
      </c>
      <c r="AR4" s="11" t="s">
        <v>2</v>
      </c>
      <c r="AS4" s="9" t="s">
        <v>58</v>
      </c>
      <c r="AT4" s="14" t="s">
        <v>61</v>
      </c>
      <c r="AU4" s="47" t="s">
        <v>62</v>
      </c>
      <c r="AV4" s="8" t="s">
        <v>2</v>
      </c>
      <c r="AW4" s="9" t="s">
        <v>58</v>
      </c>
      <c r="AX4" s="14" t="s">
        <v>4</v>
      </c>
      <c r="AY4" s="47" t="s">
        <v>59</v>
      </c>
      <c r="AZ4" s="8" t="s">
        <v>2</v>
      </c>
      <c r="BA4" s="9" t="s">
        <v>58</v>
      </c>
      <c r="BB4" s="14" t="s">
        <v>4</v>
      </c>
      <c r="BC4" s="47" t="s">
        <v>59</v>
      </c>
      <c r="BD4" s="8" t="s">
        <v>2</v>
      </c>
      <c r="BE4" s="9" t="s">
        <v>58</v>
      </c>
      <c r="BF4" s="14" t="s">
        <v>4</v>
      </c>
      <c r="BG4" s="47" t="s">
        <v>59</v>
      </c>
    </row>
    <row r="5" spans="1:675" s="1" customFormat="1" ht="17.850000000000001" customHeight="1" x14ac:dyDescent="0.45">
      <c r="A5" s="92" t="s">
        <v>20</v>
      </c>
      <c r="B5" s="92" t="s">
        <v>66</v>
      </c>
      <c r="C5" s="105" t="s">
        <v>67</v>
      </c>
      <c r="D5" s="12">
        <f>VLOOKUP(C5,'Giao CT'!$D$6:$S$20,3,0)</f>
        <v>8</v>
      </c>
      <c r="E5" s="58">
        <f>VLOOKUP(C5,GBOC!$E$7:$DG$29,$B$20,0)</f>
        <v>8</v>
      </c>
      <c r="F5" s="14">
        <f t="shared" ref="F5:F18" si="0">IFERROR(E5/D5,0)</f>
        <v>1</v>
      </c>
      <c r="G5" s="46">
        <f t="shared" ref="G5:G18" si="1">D5-E5</f>
        <v>0</v>
      </c>
      <c r="H5" s="12">
        <f>VLOOKUP(C5,'Giao CT'!$D$6:$S$20,4,0)</f>
        <v>4</v>
      </c>
      <c r="I5" s="13">
        <f>VLOOKUP(C5,GBOC!$E$7:$DG$29,$B$21,0)</f>
        <v>6</v>
      </c>
      <c r="J5" s="14">
        <f t="shared" ref="J5:J18" si="2">IFERROR(I5/H5,0)</f>
        <v>1.5</v>
      </c>
      <c r="K5" s="46">
        <f t="shared" ref="K5:K18" si="3">H5-I5</f>
        <v>-2</v>
      </c>
      <c r="L5" s="12">
        <f>VLOOKUP(C5,'Giao CT'!$D$6:$S$20,5,0)</f>
        <v>5</v>
      </c>
      <c r="M5" s="58">
        <f>VLOOKUP(C5,GBOC!$E$7:$DG$29,$B$22,0)</f>
        <v>5</v>
      </c>
      <c r="N5" s="14">
        <f t="shared" ref="N5:N18" si="4">IFERROR(M5/L5,0)</f>
        <v>1</v>
      </c>
      <c r="O5" s="46">
        <f t="shared" ref="O5:O18" si="5">L5-M5</f>
        <v>0</v>
      </c>
      <c r="P5" s="52">
        <f>VLOOKUP(C5,'Giao CT'!$D$6:$S$20,6,0)</f>
        <v>5</v>
      </c>
      <c r="Q5" s="58">
        <f>VLOOKUP(C5,GBOC!$E$7:$DG$29,$B$23,0)</f>
        <v>6</v>
      </c>
      <c r="R5" s="14">
        <f t="shared" ref="R5:R18" si="6">IFERROR(Q5/P5,0)</f>
        <v>1.2</v>
      </c>
      <c r="S5" s="46">
        <f t="shared" ref="S5:S18" si="7">P5-Q5</f>
        <v>-1</v>
      </c>
      <c r="T5" s="52">
        <f>VLOOKUP(C5,'Giao CT'!$D$6:$S$20,7,0)</f>
        <v>4</v>
      </c>
      <c r="U5" s="13">
        <f>VLOOKUP(C5,GBOC!$E$7:$DG$29,$B$24,0)</f>
        <v>4</v>
      </c>
      <c r="V5" s="14">
        <f t="shared" ref="V5:V18" si="8">IFERROR(U5/T5,0)</f>
        <v>1</v>
      </c>
      <c r="W5" s="44">
        <f t="shared" ref="W5:W18" si="9">T5-U5</f>
        <v>0</v>
      </c>
      <c r="X5" s="12">
        <f>VLOOKUP(C5,'Giao CT'!$D$6:$S$20,8,0)</f>
        <v>1</v>
      </c>
      <c r="Y5" s="13">
        <f>VLOOKUP(C5,GBOC!$E$7:$DG$29,$B$25,0)</f>
        <v>1</v>
      </c>
      <c r="Z5" s="14">
        <f t="shared" ref="Z5:Z18" si="10">IFERROR(Y5/X5,0)</f>
        <v>1</v>
      </c>
      <c r="AA5" s="46">
        <f t="shared" ref="AA5:AA18" si="11">X5-Y5</f>
        <v>0</v>
      </c>
      <c r="AB5" s="51">
        <f>VLOOKUP(C5,'Giao CT'!$D$6:$S$20,9,0)</f>
        <v>30</v>
      </c>
      <c r="AC5" s="13">
        <f>VLOOKUP(C5,GBOC!$E$7:$DG$29,$B$26,0)</f>
        <v>33</v>
      </c>
      <c r="AD5" s="14">
        <f t="shared" ref="AD5:AD18" si="12">IFERROR(AC5/AB5,0)</f>
        <v>1.1000000000000001</v>
      </c>
      <c r="AE5" s="46">
        <f t="shared" ref="AE5:AE18" si="13">AB5-AC5</f>
        <v>-3</v>
      </c>
      <c r="AF5" s="51">
        <f>VLOOKUP(C5,'Giao CT'!$D$6:$S$20,10,0)</f>
        <v>9</v>
      </c>
      <c r="AG5" s="13">
        <f>VLOOKUP(C5,GBOC!$E$7:$DG$29,$B$27,0)</f>
        <v>12</v>
      </c>
      <c r="AH5" s="14">
        <f t="shared" ref="AH5:AH18" si="14">IFERROR(AG5/AF5,0)</f>
        <v>1.3333333333333333</v>
      </c>
      <c r="AI5" s="46">
        <f t="shared" ref="AI5:AI18" si="15">AF5-AG5</f>
        <v>-3</v>
      </c>
      <c r="AJ5" s="51">
        <f>VLOOKUP(C5,'Giao CT'!$D$6:$S$20,11,0)</f>
        <v>4</v>
      </c>
      <c r="AK5" s="13">
        <v>2</v>
      </c>
      <c r="AL5" s="14">
        <f t="shared" ref="AL5:AL18" si="16">200%-IFERROR(AK5/AJ5,0)</f>
        <v>1.5</v>
      </c>
      <c r="AM5" s="61">
        <f t="shared" ref="AM5:AM18" si="17">MAX(AL5,0)</f>
        <v>1.5</v>
      </c>
      <c r="AN5" s="51">
        <f>VLOOKUP(C5,'Giao CT'!$D$6:$S$20,12,0)</f>
        <v>5</v>
      </c>
      <c r="AO5" s="13">
        <f>VLOOKUP(C5,GBOC!$E$7:$DG$29,$B$29,0)</f>
        <v>3</v>
      </c>
      <c r="AP5" s="14">
        <f t="shared" ref="AP5:AP18" si="18">200%-IFERROR(AO5/AN5,0)</f>
        <v>1.4</v>
      </c>
      <c r="AQ5" s="61">
        <f t="shared" ref="AQ5:AQ18" si="19">MAX(AP5,0)</f>
        <v>1.4</v>
      </c>
      <c r="AR5" s="33">
        <v>0.97</v>
      </c>
      <c r="AS5" s="112">
        <f>(VLOOKUP(B5,cuoc!$B$7:$P$27,14,0))*1%</f>
        <v>0.96409999999999996</v>
      </c>
      <c r="AT5" s="14">
        <f t="shared" ref="AT5:AT18" si="20">IF(AS5&lt;94.5%,0,IF(AS5&lt;95.54%,50%,IF(AS5&lt;AR5,80%,100%+(30%*(AS5-AR5)/3.39%))))</f>
        <v>0.8</v>
      </c>
      <c r="AU5" s="48">
        <f t="shared" ref="AU5:AU18" si="21">AR5-AS5</f>
        <v>5.9000000000000163E-3</v>
      </c>
      <c r="AV5" s="51">
        <f>VLOOKUP(C5,'Giao CT'!$D$6:$S$20,14,0)</f>
        <v>2</v>
      </c>
      <c r="AW5" s="13">
        <f>VLOOKUP(C5,GBOC!$E$7:$DG$29,$B$31,0)</f>
        <v>0</v>
      </c>
      <c r="AX5" s="14">
        <f t="shared" ref="AX5:AX18" si="22">AW5/AV5</f>
        <v>0</v>
      </c>
      <c r="AY5" s="48">
        <f t="shared" ref="AY5:AY18" si="23">AV5-AW5</f>
        <v>2</v>
      </c>
      <c r="AZ5" s="51">
        <f>VLOOKUP(C5,'Giao CT'!$D$6:$S$20,15,0)</f>
        <v>1</v>
      </c>
      <c r="BA5" s="13">
        <f>VLOOKUP(C5,GBOC!$E$7:$DG$29,$B$32,0)</f>
        <v>1</v>
      </c>
      <c r="BB5" s="104">
        <f t="shared" ref="BB5:BB18" si="24">IFERROR(BA5/AZ5,1)</f>
        <v>1</v>
      </c>
      <c r="BC5" s="48">
        <f t="shared" ref="BC5:BC18" si="25">AZ5-BA5</f>
        <v>0</v>
      </c>
      <c r="BD5" s="51">
        <f>VLOOKUP(C5,'Giao CT'!$D$6:$S$20,16,0)</f>
        <v>0</v>
      </c>
      <c r="BE5" s="13">
        <f>VLOOKUP(C5,GBOC!$E$7:$DG$29,$B$33,0)</f>
        <v>0</v>
      </c>
      <c r="BF5" s="14">
        <f t="shared" ref="BF5:BF18" si="26">IFERROR(BE5/BD5,1)</f>
        <v>1</v>
      </c>
      <c r="BG5" s="48">
        <f t="shared" ref="BG5:BG18" si="27">BD5-BE5</f>
        <v>0</v>
      </c>
    </row>
    <row r="6" spans="1:675" ht="17.850000000000001" customHeight="1" x14ac:dyDescent="0.45">
      <c r="A6" s="92" t="s">
        <v>21</v>
      </c>
      <c r="B6" s="92" t="s">
        <v>71</v>
      </c>
      <c r="C6" s="105" t="s">
        <v>72</v>
      </c>
      <c r="D6" s="12">
        <f>VLOOKUP(C6,'Giao CT'!$D$6:$S$20,3,0)</f>
        <v>7</v>
      </c>
      <c r="E6" s="58">
        <f>VLOOKUP(C6,GBOC!$E$7:$DG$29,$B$20,0)</f>
        <v>13</v>
      </c>
      <c r="F6" s="14">
        <f t="shared" si="0"/>
        <v>1.8571428571428572</v>
      </c>
      <c r="G6" s="46">
        <f t="shared" si="1"/>
        <v>-6</v>
      </c>
      <c r="H6" s="12">
        <f>VLOOKUP(C6,'Giao CT'!$D$6:$S$20,4,0)</f>
        <v>4</v>
      </c>
      <c r="I6" s="13">
        <f>VLOOKUP(C6,GBOC!$E$7:$DG$29,$B$21,0)</f>
        <v>5</v>
      </c>
      <c r="J6" s="14">
        <f t="shared" si="2"/>
        <v>1.25</v>
      </c>
      <c r="K6" s="46">
        <f t="shared" si="3"/>
        <v>-1</v>
      </c>
      <c r="L6" s="12">
        <f>VLOOKUP(C6,'Giao CT'!$D$6:$S$20,5,0)</f>
        <v>5</v>
      </c>
      <c r="M6" s="58">
        <f>VLOOKUP(C6,GBOC!$E$7:$DG$29,$B$22,0)</f>
        <v>5</v>
      </c>
      <c r="N6" s="14">
        <f t="shared" si="4"/>
        <v>1</v>
      </c>
      <c r="O6" s="46">
        <f t="shared" si="5"/>
        <v>0</v>
      </c>
      <c r="P6" s="52">
        <f>VLOOKUP(C6,'Giao CT'!$D$6:$S$20,6,0)</f>
        <v>4</v>
      </c>
      <c r="Q6" s="58">
        <f>VLOOKUP(C6,GBOC!$E$7:$DG$29,$B$23,0)</f>
        <v>7</v>
      </c>
      <c r="R6" s="14">
        <f t="shared" si="6"/>
        <v>1.75</v>
      </c>
      <c r="S6" s="46">
        <f t="shared" si="7"/>
        <v>-3</v>
      </c>
      <c r="T6" s="52">
        <f>VLOOKUP(C6,'Giao CT'!$D$6:$S$20,7,0)</f>
        <v>4</v>
      </c>
      <c r="U6" s="13">
        <f>VLOOKUP(C6,GBOC!$E$7:$DG$29,$B$24,0)</f>
        <v>4</v>
      </c>
      <c r="V6" s="14">
        <f t="shared" si="8"/>
        <v>1</v>
      </c>
      <c r="W6" s="44">
        <f t="shared" si="9"/>
        <v>0</v>
      </c>
      <c r="X6" s="12">
        <f>VLOOKUP(C6,'Giao CT'!$D$6:$S$20,8,0)</f>
        <v>1</v>
      </c>
      <c r="Y6" s="13">
        <f>VLOOKUP(C6,GBOC!$E$7:$DG$29,$B$25,0)</f>
        <v>6</v>
      </c>
      <c r="Z6" s="14">
        <f t="shared" si="10"/>
        <v>6</v>
      </c>
      <c r="AA6" s="46">
        <f t="shared" si="11"/>
        <v>-5</v>
      </c>
      <c r="AB6" s="51">
        <f>VLOOKUP(C6,'Giao CT'!$D$6:$S$20,9,0)</f>
        <v>30</v>
      </c>
      <c r="AC6" s="13">
        <f>VLOOKUP(C6,GBOC!$E$7:$DG$29,$B$26,0)</f>
        <v>71</v>
      </c>
      <c r="AD6" s="14">
        <f t="shared" si="12"/>
        <v>2.3666666666666667</v>
      </c>
      <c r="AE6" s="46">
        <f t="shared" si="13"/>
        <v>-41</v>
      </c>
      <c r="AF6" s="51">
        <f>VLOOKUP(C6,'Giao CT'!$D$6:$S$20,10,0)</f>
        <v>8</v>
      </c>
      <c r="AG6" s="13">
        <f>VLOOKUP(C6,GBOC!$E$7:$DG$29,$B$27,0)</f>
        <v>10</v>
      </c>
      <c r="AH6" s="14">
        <f t="shared" si="14"/>
        <v>1.25</v>
      </c>
      <c r="AI6" s="46">
        <f t="shared" si="15"/>
        <v>-2</v>
      </c>
      <c r="AJ6" s="51">
        <f>VLOOKUP(C6,'Giao CT'!$D$6:$S$20,11,0)</f>
        <v>4</v>
      </c>
      <c r="AK6" s="13">
        <v>9</v>
      </c>
      <c r="AL6" s="14">
        <f t="shared" si="16"/>
        <v>-0.25</v>
      </c>
      <c r="AM6" s="61">
        <f t="shared" si="17"/>
        <v>0</v>
      </c>
      <c r="AN6" s="51">
        <f>VLOOKUP(C6,'Giao CT'!$D$6:$S$20,12,0)</f>
        <v>5</v>
      </c>
      <c r="AO6" s="13">
        <f>VLOOKUP(C6,GBOC!$E$7:$DG$29,$B$29,0)</f>
        <v>5</v>
      </c>
      <c r="AP6" s="14">
        <f t="shared" si="18"/>
        <v>1</v>
      </c>
      <c r="AQ6" s="61">
        <f t="shared" si="19"/>
        <v>1</v>
      </c>
      <c r="AR6" s="33">
        <v>0.97</v>
      </c>
      <c r="AS6" s="112">
        <f>(VLOOKUP(B6,cuoc!$B$7:$P$27,14,0))*1%</f>
        <v>0.96050000000000002</v>
      </c>
      <c r="AT6" s="14">
        <f t="shared" si="20"/>
        <v>0.8</v>
      </c>
      <c r="AU6" s="48">
        <f t="shared" si="21"/>
        <v>9.4999999999999529E-3</v>
      </c>
      <c r="AV6" s="51">
        <f>VLOOKUP(C6,'Giao CT'!$D$6:$S$20,14,0)</f>
        <v>3</v>
      </c>
      <c r="AW6" s="13">
        <f>VLOOKUP(C6,GBOC!$E$7:$DG$29,$B$31,0)</f>
        <v>0</v>
      </c>
      <c r="AX6" s="14">
        <f t="shared" si="22"/>
        <v>0</v>
      </c>
      <c r="AY6" s="48">
        <f t="shared" si="23"/>
        <v>3</v>
      </c>
      <c r="AZ6" s="51">
        <f>VLOOKUP(C6,'Giao CT'!$D$6:$S$20,15,0)</f>
        <v>1</v>
      </c>
      <c r="BA6" s="13">
        <f>VLOOKUP(C6,GBOC!$E$7:$DG$29,$B$32,0)</f>
        <v>1</v>
      </c>
      <c r="BB6" s="104">
        <f t="shared" si="24"/>
        <v>1</v>
      </c>
      <c r="BC6" s="48">
        <f t="shared" si="25"/>
        <v>0</v>
      </c>
      <c r="BD6" s="51">
        <f>VLOOKUP(C6,'Giao CT'!$D$6:$S$20,16,0)</f>
        <v>1</v>
      </c>
      <c r="BE6" s="13">
        <f>VLOOKUP(C6,GBOC!$E$7:$DG$29,$B$33,0)</f>
        <v>0</v>
      </c>
      <c r="BF6" s="14">
        <f t="shared" si="26"/>
        <v>0</v>
      </c>
      <c r="BG6" s="48">
        <f t="shared" si="27"/>
        <v>1</v>
      </c>
    </row>
    <row r="7" spans="1:675" s="23" customFormat="1" ht="17.850000000000001" customHeight="1" x14ac:dyDescent="0.45">
      <c r="A7" s="92" t="s">
        <v>22</v>
      </c>
      <c r="B7" s="92" t="s">
        <v>74</v>
      </c>
      <c r="C7" s="105" t="s">
        <v>75</v>
      </c>
      <c r="D7" s="12">
        <f>VLOOKUP(C7,'Giao CT'!$D$6:$S$20,3,0)</f>
        <v>7</v>
      </c>
      <c r="E7" s="58">
        <f>VLOOKUP(C7,GBOC!$E$7:$DG$29,$B$20,0)</f>
        <v>12</v>
      </c>
      <c r="F7" s="14">
        <f t="shared" si="0"/>
        <v>1.7142857142857142</v>
      </c>
      <c r="G7" s="46">
        <f t="shared" si="1"/>
        <v>-5</v>
      </c>
      <c r="H7" s="12">
        <f>VLOOKUP(C7,'Giao CT'!$D$6:$S$20,4,0)</f>
        <v>4</v>
      </c>
      <c r="I7" s="13">
        <f>VLOOKUP(C7,GBOC!$E$7:$DG$29,$B$21,0)</f>
        <v>4</v>
      </c>
      <c r="J7" s="14">
        <f t="shared" si="2"/>
        <v>1</v>
      </c>
      <c r="K7" s="46">
        <f t="shared" si="3"/>
        <v>0</v>
      </c>
      <c r="L7" s="12">
        <f>VLOOKUP(C7,'Giao CT'!$D$6:$S$20,5,0)</f>
        <v>5</v>
      </c>
      <c r="M7" s="58">
        <f>VLOOKUP(C7,GBOC!$E$7:$DG$29,$B$22,0)</f>
        <v>5</v>
      </c>
      <c r="N7" s="14">
        <f t="shared" si="4"/>
        <v>1</v>
      </c>
      <c r="O7" s="46">
        <f t="shared" si="5"/>
        <v>0</v>
      </c>
      <c r="P7" s="52">
        <f>VLOOKUP(C7,'Giao CT'!$D$6:$S$20,6,0)</f>
        <v>4</v>
      </c>
      <c r="Q7" s="58">
        <f>VLOOKUP(C7,GBOC!$E$7:$DG$29,$B$23,0)</f>
        <v>4</v>
      </c>
      <c r="R7" s="14">
        <f t="shared" si="6"/>
        <v>1</v>
      </c>
      <c r="S7" s="46">
        <f t="shared" si="7"/>
        <v>0</v>
      </c>
      <c r="T7" s="52">
        <f>VLOOKUP(C7,'Giao CT'!$D$6:$S$20,7,0)</f>
        <v>3</v>
      </c>
      <c r="U7" s="13">
        <f>VLOOKUP(C7,GBOC!$E$7:$DG$29,$B$24,0)</f>
        <v>5</v>
      </c>
      <c r="V7" s="14">
        <f t="shared" si="8"/>
        <v>1.6666666666666667</v>
      </c>
      <c r="W7" s="44">
        <f t="shared" si="9"/>
        <v>-2</v>
      </c>
      <c r="X7" s="12">
        <f>VLOOKUP(C7,'Giao CT'!$D$6:$S$20,8,0)</f>
        <v>1</v>
      </c>
      <c r="Y7" s="13">
        <f>VLOOKUP(C7,GBOC!$E$7:$DG$29,$B$25,0)</f>
        <v>3</v>
      </c>
      <c r="Z7" s="14">
        <f t="shared" si="10"/>
        <v>3</v>
      </c>
      <c r="AA7" s="46">
        <f t="shared" si="11"/>
        <v>-2</v>
      </c>
      <c r="AB7" s="51">
        <f>VLOOKUP(C7,'Giao CT'!$D$6:$S$20,9,0)</f>
        <v>30</v>
      </c>
      <c r="AC7" s="13">
        <f>VLOOKUP(C7,GBOC!$E$7:$DG$29,$B$26,0)</f>
        <v>30</v>
      </c>
      <c r="AD7" s="14">
        <f t="shared" si="12"/>
        <v>1</v>
      </c>
      <c r="AE7" s="46">
        <f t="shared" si="13"/>
        <v>0</v>
      </c>
      <c r="AF7" s="51">
        <f>VLOOKUP(C7,'Giao CT'!$D$6:$S$20,10,0)</f>
        <v>8</v>
      </c>
      <c r="AG7" s="13">
        <f>VLOOKUP(C7,GBOC!$E$7:$DG$29,$B$27,0)</f>
        <v>12</v>
      </c>
      <c r="AH7" s="14">
        <f t="shared" si="14"/>
        <v>1.5</v>
      </c>
      <c r="AI7" s="46">
        <f t="shared" si="15"/>
        <v>-4</v>
      </c>
      <c r="AJ7" s="51">
        <f>VLOOKUP(C7,'Giao CT'!$D$6:$S$20,11,0)</f>
        <v>4</v>
      </c>
      <c r="AK7" s="13">
        <v>0</v>
      </c>
      <c r="AL7" s="14">
        <f t="shared" si="16"/>
        <v>2</v>
      </c>
      <c r="AM7" s="61">
        <f t="shared" si="17"/>
        <v>2</v>
      </c>
      <c r="AN7" s="51">
        <f>VLOOKUP(C7,'Giao CT'!$D$6:$S$20,12,0)</f>
        <v>5</v>
      </c>
      <c r="AO7" s="13">
        <f>VLOOKUP(C7,GBOC!$E$7:$DG$29,$B$29,0)</f>
        <v>3</v>
      </c>
      <c r="AP7" s="14">
        <f t="shared" si="18"/>
        <v>1.4</v>
      </c>
      <c r="AQ7" s="61">
        <f t="shared" si="19"/>
        <v>1.4</v>
      </c>
      <c r="AR7" s="33">
        <v>0.97</v>
      </c>
      <c r="AS7" s="112">
        <f>(VLOOKUP(B7,cuoc!$B$7:$P$27,14,0))*1%</f>
        <v>0.96730000000000005</v>
      </c>
      <c r="AT7" s="14">
        <f t="shared" si="20"/>
        <v>0.8</v>
      </c>
      <c r="AU7" s="48">
        <f t="shared" si="21"/>
        <v>2.6999999999999247E-3</v>
      </c>
      <c r="AV7" s="51">
        <f>VLOOKUP(C7,'Giao CT'!$D$6:$S$20,14,0)</f>
        <v>3</v>
      </c>
      <c r="AW7" s="13">
        <f>VLOOKUP(C7,GBOC!$E$7:$DG$29,$B$31,0)</f>
        <v>1</v>
      </c>
      <c r="AX7" s="14">
        <f t="shared" si="22"/>
        <v>0.33333333333333331</v>
      </c>
      <c r="AY7" s="48">
        <f t="shared" si="23"/>
        <v>2</v>
      </c>
      <c r="AZ7" s="51">
        <f>VLOOKUP(C7,'Giao CT'!$D$6:$S$20,15,0)</f>
        <v>1</v>
      </c>
      <c r="BA7" s="13">
        <f>VLOOKUP(C7,GBOC!$E$7:$DG$29,$B$32,0)</f>
        <v>1</v>
      </c>
      <c r="BB7" s="104">
        <f t="shared" si="24"/>
        <v>1</v>
      </c>
      <c r="BC7" s="48">
        <f t="shared" si="25"/>
        <v>0</v>
      </c>
      <c r="BD7" s="51">
        <f>VLOOKUP(C7,'Giao CT'!$D$6:$S$20,16,0)</f>
        <v>0</v>
      </c>
      <c r="BE7" s="13">
        <f>VLOOKUP(C7,GBOC!$E$7:$DG$29,$B$33,0)</f>
        <v>0</v>
      </c>
      <c r="BF7" s="14">
        <f t="shared" si="26"/>
        <v>1</v>
      </c>
      <c r="BG7" s="48">
        <f t="shared" si="27"/>
        <v>0</v>
      </c>
    </row>
    <row r="8" spans="1:675" ht="17.850000000000001" customHeight="1" x14ac:dyDescent="0.45">
      <c r="A8" s="92" t="s">
        <v>24</v>
      </c>
      <c r="B8" s="89" t="s">
        <v>77</v>
      </c>
      <c r="C8" s="105" t="s">
        <v>78</v>
      </c>
      <c r="D8" s="12">
        <f>VLOOKUP(C8,'Giao CT'!$D$6:$S$20,3,0)</f>
        <v>7</v>
      </c>
      <c r="E8" s="58">
        <f>VLOOKUP(C8,GBOC!$E$7:$DG$29,$B$20,0)</f>
        <v>5</v>
      </c>
      <c r="F8" s="14">
        <f t="shared" si="0"/>
        <v>0.7142857142857143</v>
      </c>
      <c r="G8" s="46">
        <f t="shared" si="1"/>
        <v>2</v>
      </c>
      <c r="H8" s="12">
        <f>VLOOKUP(C8,'Giao CT'!$D$6:$S$20,4,0)</f>
        <v>3</v>
      </c>
      <c r="I8" s="13">
        <f>VLOOKUP(C8,GBOC!$E$7:$DG$29,$B$21,0)</f>
        <v>4</v>
      </c>
      <c r="J8" s="14">
        <f t="shared" si="2"/>
        <v>1.3333333333333333</v>
      </c>
      <c r="K8" s="46">
        <f t="shared" si="3"/>
        <v>-1</v>
      </c>
      <c r="L8" s="12">
        <f>VLOOKUP(C8,'Giao CT'!$D$6:$S$20,5,0)</f>
        <v>4</v>
      </c>
      <c r="M8" s="58">
        <f>VLOOKUP(C8,GBOC!$E$7:$DG$29,$B$22,0)</f>
        <v>2</v>
      </c>
      <c r="N8" s="14">
        <f t="shared" si="4"/>
        <v>0.5</v>
      </c>
      <c r="O8" s="46">
        <f t="shared" si="5"/>
        <v>2</v>
      </c>
      <c r="P8" s="52">
        <f>VLOOKUP(C8,'Giao CT'!$D$6:$S$20,6,0)</f>
        <v>4</v>
      </c>
      <c r="Q8" s="58">
        <f>VLOOKUP(C8,GBOC!$E$7:$DG$29,$B$23,0)</f>
        <v>3</v>
      </c>
      <c r="R8" s="14">
        <f t="shared" si="6"/>
        <v>0.75</v>
      </c>
      <c r="S8" s="46">
        <f t="shared" si="7"/>
        <v>1</v>
      </c>
      <c r="T8" s="52">
        <f>VLOOKUP(C8,'Giao CT'!$D$6:$S$20,7,0)</f>
        <v>3</v>
      </c>
      <c r="U8" s="13">
        <f>VLOOKUP(C8,GBOC!$E$7:$DG$29,$B$24,0)</f>
        <v>0</v>
      </c>
      <c r="V8" s="14">
        <f t="shared" si="8"/>
        <v>0</v>
      </c>
      <c r="W8" s="44">
        <f t="shared" si="9"/>
        <v>3</v>
      </c>
      <c r="X8" s="12">
        <f>VLOOKUP(C8,'Giao CT'!$D$6:$S$20,8,0)</f>
        <v>1</v>
      </c>
      <c r="Y8" s="13">
        <f>VLOOKUP(C8,GBOC!$E$7:$DG$29,$B$25,0)</f>
        <v>0</v>
      </c>
      <c r="Z8" s="14">
        <f t="shared" si="10"/>
        <v>0</v>
      </c>
      <c r="AA8" s="46">
        <f t="shared" si="11"/>
        <v>1</v>
      </c>
      <c r="AB8" s="51">
        <f>VLOOKUP(C8,'Giao CT'!$D$6:$S$20,9,0)</f>
        <v>30</v>
      </c>
      <c r="AC8" s="13">
        <f>VLOOKUP(C8,GBOC!$E$7:$DG$29,$B$26,0)</f>
        <v>9</v>
      </c>
      <c r="AD8" s="14">
        <f t="shared" si="12"/>
        <v>0.3</v>
      </c>
      <c r="AE8" s="46">
        <f t="shared" si="13"/>
        <v>21</v>
      </c>
      <c r="AF8" s="51">
        <f>VLOOKUP(C8,'Giao CT'!$D$6:$S$20,10,0)</f>
        <v>8</v>
      </c>
      <c r="AG8" s="13">
        <f>VLOOKUP(C8,GBOC!$E$7:$DG$29,$B$27,0)</f>
        <v>0</v>
      </c>
      <c r="AH8" s="14">
        <f t="shared" si="14"/>
        <v>0</v>
      </c>
      <c r="AI8" s="46">
        <f t="shared" si="15"/>
        <v>8</v>
      </c>
      <c r="AJ8" s="51">
        <f>VLOOKUP(C8,'Giao CT'!$D$6:$S$20,11,0)</f>
        <v>4</v>
      </c>
      <c r="AK8" s="13">
        <v>5</v>
      </c>
      <c r="AL8" s="14">
        <f t="shared" si="16"/>
        <v>0.75</v>
      </c>
      <c r="AM8" s="61">
        <f t="shared" si="17"/>
        <v>0.75</v>
      </c>
      <c r="AN8" s="51">
        <f>VLOOKUP(C8,'Giao CT'!$D$6:$S$20,12,0)</f>
        <v>3</v>
      </c>
      <c r="AO8" s="13">
        <f>VLOOKUP(C8,GBOC!$E$7:$DG$29,$B$29,0)</f>
        <v>1</v>
      </c>
      <c r="AP8" s="14">
        <f t="shared" si="18"/>
        <v>1.6666666666666667</v>
      </c>
      <c r="AQ8" s="61">
        <f t="shared" si="19"/>
        <v>1.6666666666666667</v>
      </c>
      <c r="AR8" s="33">
        <v>0.97</v>
      </c>
      <c r="AS8" s="112">
        <f>(VLOOKUP(B8,cuoc!$B$7:$P$27,14,0))*1%</f>
        <v>0.92980000000000007</v>
      </c>
      <c r="AT8" s="14">
        <f t="shared" si="20"/>
        <v>0</v>
      </c>
      <c r="AU8" s="48">
        <f t="shared" si="21"/>
        <v>4.0199999999999902E-2</v>
      </c>
      <c r="AV8" s="51">
        <f>VLOOKUP(C8,'Giao CT'!$D$6:$S$20,14,0)</f>
        <v>1</v>
      </c>
      <c r="AW8" s="13">
        <f>VLOOKUP(C8,GBOC!$E$7:$DG$29,$B$31,0)</f>
        <v>0</v>
      </c>
      <c r="AX8" s="14">
        <f t="shared" si="22"/>
        <v>0</v>
      </c>
      <c r="AY8" s="48">
        <f t="shared" si="23"/>
        <v>1</v>
      </c>
      <c r="AZ8" s="51">
        <f>VLOOKUP(C8,'Giao CT'!$D$6:$S$20,15,0)</f>
        <v>1</v>
      </c>
      <c r="BA8" s="13">
        <f>VLOOKUP(C8,GBOC!$E$7:$DG$29,$B$32,0)</f>
        <v>0</v>
      </c>
      <c r="BB8" s="104">
        <f t="shared" si="24"/>
        <v>0</v>
      </c>
      <c r="BC8" s="48">
        <f t="shared" si="25"/>
        <v>1</v>
      </c>
      <c r="BD8" s="51">
        <f>VLOOKUP(C8,'Giao CT'!$D$6:$S$20,16,0)</f>
        <v>0</v>
      </c>
      <c r="BE8" s="13">
        <f>VLOOKUP(C8,GBOC!$E$7:$DG$29,$B$33,0)</f>
        <v>0</v>
      </c>
      <c r="BF8" s="14">
        <f t="shared" si="26"/>
        <v>1</v>
      </c>
      <c r="BG8" s="48">
        <f t="shared" si="27"/>
        <v>0</v>
      </c>
    </row>
    <row r="9" spans="1:675" ht="17.850000000000001" customHeight="1" x14ac:dyDescent="0.45">
      <c r="A9" s="92" t="s">
        <v>25</v>
      </c>
      <c r="B9" s="89" t="s">
        <v>80</v>
      </c>
      <c r="C9" s="105" t="s">
        <v>81</v>
      </c>
      <c r="D9" s="12">
        <f>VLOOKUP(C9,'Giao CT'!$D$6:$S$20,3,0)</f>
        <v>7</v>
      </c>
      <c r="E9" s="58">
        <f>VLOOKUP(C9,GBOC!$E$7:$DG$29,$B$20,0)</f>
        <v>9</v>
      </c>
      <c r="F9" s="14">
        <f t="shared" si="0"/>
        <v>1.2857142857142858</v>
      </c>
      <c r="G9" s="46">
        <f t="shared" si="1"/>
        <v>-2</v>
      </c>
      <c r="H9" s="12">
        <f>VLOOKUP(C9,'Giao CT'!$D$6:$S$20,4,0)</f>
        <v>4</v>
      </c>
      <c r="I9" s="13">
        <f>VLOOKUP(C9,GBOC!$E$7:$DG$29,$B$21,0)</f>
        <v>5</v>
      </c>
      <c r="J9" s="14">
        <f t="shared" si="2"/>
        <v>1.25</v>
      </c>
      <c r="K9" s="46">
        <f t="shared" si="3"/>
        <v>-1</v>
      </c>
      <c r="L9" s="12">
        <f>VLOOKUP(C9,'Giao CT'!$D$6:$S$20,5,0)</f>
        <v>5</v>
      </c>
      <c r="M9" s="58">
        <f>VLOOKUP(C9,GBOC!$E$7:$DG$29,$B$22,0)</f>
        <v>6</v>
      </c>
      <c r="N9" s="14">
        <f t="shared" si="4"/>
        <v>1.2</v>
      </c>
      <c r="O9" s="46">
        <f t="shared" si="5"/>
        <v>-1</v>
      </c>
      <c r="P9" s="52">
        <f>VLOOKUP(C9,'Giao CT'!$D$6:$S$20,6,0)</f>
        <v>4</v>
      </c>
      <c r="Q9" s="58">
        <f>VLOOKUP(C9,GBOC!$E$7:$DG$29,$B$23,0)</f>
        <v>3</v>
      </c>
      <c r="R9" s="14">
        <f t="shared" si="6"/>
        <v>0.75</v>
      </c>
      <c r="S9" s="46">
        <f t="shared" si="7"/>
        <v>1</v>
      </c>
      <c r="T9" s="52">
        <f>VLOOKUP(C9,'Giao CT'!$D$6:$S$20,7,0)</f>
        <v>4</v>
      </c>
      <c r="U9" s="13">
        <f>VLOOKUP(C9,GBOC!$E$7:$DG$29,$B$24,0)</f>
        <v>3</v>
      </c>
      <c r="V9" s="14">
        <f t="shared" si="8"/>
        <v>0.75</v>
      </c>
      <c r="W9" s="44">
        <f t="shared" si="9"/>
        <v>1</v>
      </c>
      <c r="X9" s="12">
        <f>VLOOKUP(C9,'Giao CT'!$D$6:$S$20,8,0)</f>
        <v>1</v>
      </c>
      <c r="Y9" s="13">
        <f>VLOOKUP(C9,GBOC!$E$7:$DG$29,$B$25,0)</f>
        <v>10</v>
      </c>
      <c r="Z9" s="14">
        <f t="shared" si="10"/>
        <v>10</v>
      </c>
      <c r="AA9" s="46">
        <f t="shared" si="11"/>
        <v>-9</v>
      </c>
      <c r="AB9" s="51">
        <f>VLOOKUP(C9,'Giao CT'!$D$6:$S$20,9,0)</f>
        <v>40</v>
      </c>
      <c r="AC9" s="13">
        <f>VLOOKUP(C9,GBOC!$E$7:$DG$29,$B$26,0)</f>
        <v>85</v>
      </c>
      <c r="AD9" s="14">
        <f t="shared" si="12"/>
        <v>2.125</v>
      </c>
      <c r="AE9" s="46">
        <f t="shared" si="13"/>
        <v>-45</v>
      </c>
      <c r="AF9" s="51">
        <f>VLOOKUP(C9,'Giao CT'!$D$6:$S$20,10,0)</f>
        <v>8</v>
      </c>
      <c r="AG9" s="13">
        <f>VLOOKUP(C9,GBOC!$E$7:$DG$29,$B$27,0)</f>
        <v>7</v>
      </c>
      <c r="AH9" s="14">
        <f t="shared" si="14"/>
        <v>0.875</v>
      </c>
      <c r="AI9" s="46">
        <f t="shared" si="15"/>
        <v>1</v>
      </c>
      <c r="AJ9" s="51">
        <f>VLOOKUP(C9,'Giao CT'!$D$6:$S$20,11,0)</f>
        <v>3</v>
      </c>
      <c r="AK9" s="13">
        <v>5</v>
      </c>
      <c r="AL9" s="14">
        <f t="shared" si="16"/>
        <v>0.33333333333333326</v>
      </c>
      <c r="AM9" s="61">
        <f t="shared" si="17"/>
        <v>0.33333333333333326</v>
      </c>
      <c r="AN9" s="51">
        <f>VLOOKUP(C9,'Giao CT'!$D$6:$S$20,12,0)</f>
        <v>4</v>
      </c>
      <c r="AO9" s="13">
        <f>VLOOKUP(C9,GBOC!$E$7:$DG$29,$B$29,0)</f>
        <v>3</v>
      </c>
      <c r="AP9" s="14">
        <f t="shared" si="18"/>
        <v>1.25</v>
      </c>
      <c r="AQ9" s="61">
        <f t="shared" si="19"/>
        <v>1.25</v>
      </c>
      <c r="AR9" s="33">
        <v>0.97</v>
      </c>
      <c r="AS9" s="112">
        <f>(VLOOKUP(B9,cuoc!$B$7:$P$27,14,0))*1%</f>
        <v>0.94650000000000012</v>
      </c>
      <c r="AT9" s="14">
        <f t="shared" si="20"/>
        <v>0.5</v>
      </c>
      <c r="AU9" s="48">
        <f t="shared" si="21"/>
        <v>2.3499999999999854E-2</v>
      </c>
      <c r="AV9" s="51">
        <f>VLOOKUP(C9,'Giao CT'!$D$6:$S$20,14,0)</f>
        <v>2</v>
      </c>
      <c r="AW9" s="13">
        <f>VLOOKUP(C9,GBOC!$E$7:$DG$29,$B$31,0)</f>
        <v>0</v>
      </c>
      <c r="AX9" s="14">
        <f t="shared" si="22"/>
        <v>0</v>
      </c>
      <c r="AY9" s="48">
        <f t="shared" si="23"/>
        <v>2</v>
      </c>
      <c r="AZ9" s="51">
        <f>VLOOKUP(C9,'Giao CT'!$D$6:$S$20,15,0)</f>
        <v>1</v>
      </c>
      <c r="BA9" s="13">
        <f>VLOOKUP(C9,GBOC!$E$7:$DG$29,$B$32,0)</f>
        <v>1</v>
      </c>
      <c r="BB9" s="104">
        <f t="shared" si="24"/>
        <v>1</v>
      </c>
      <c r="BC9" s="48">
        <f t="shared" si="25"/>
        <v>0</v>
      </c>
      <c r="BD9" s="51">
        <f>VLOOKUP(C9,'Giao CT'!$D$6:$S$20,16,0)</f>
        <v>0</v>
      </c>
      <c r="BE9" s="13">
        <f>VLOOKUP(C9,GBOC!$E$7:$DG$29,$B$33,0)</f>
        <v>0</v>
      </c>
      <c r="BF9" s="14">
        <f t="shared" si="26"/>
        <v>1</v>
      </c>
      <c r="BG9" s="48">
        <f t="shared" si="27"/>
        <v>0</v>
      </c>
    </row>
    <row r="10" spans="1:675" ht="17.850000000000001" customHeight="1" x14ac:dyDescent="0.45">
      <c r="A10" s="92" t="s">
        <v>26</v>
      </c>
      <c r="B10" s="89" t="s">
        <v>83</v>
      </c>
      <c r="C10" s="105" t="s">
        <v>84</v>
      </c>
      <c r="D10" s="12">
        <f>VLOOKUP(C10,'Giao CT'!$D$6:$S$20,3,0)</f>
        <v>7</v>
      </c>
      <c r="E10" s="58">
        <f>VLOOKUP(C10,GBOC!$E$7:$DG$29,$B$20,0)</f>
        <v>7</v>
      </c>
      <c r="F10" s="14">
        <f t="shared" si="0"/>
        <v>1</v>
      </c>
      <c r="G10" s="46">
        <f t="shared" si="1"/>
        <v>0</v>
      </c>
      <c r="H10" s="12">
        <f>VLOOKUP(C10,'Giao CT'!$D$6:$S$20,4,0)</f>
        <v>3</v>
      </c>
      <c r="I10" s="13">
        <f>VLOOKUP(C10,GBOC!$E$7:$DG$29,$B$21,0)</f>
        <v>3</v>
      </c>
      <c r="J10" s="14">
        <f t="shared" si="2"/>
        <v>1</v>
      </c>
      <c r="K10" s="46">
        <f t="shared" si="3"/>
        <v>0</v>
      </c>
      <c r="L10" s="12">
        <f>VLOOKUP(C10,'Giao CT'!$D$6:$S$20,5,0)</f>
        <v>4</v>
      </c>
      <c r="M10" s="58">
        <f>VLOOKUP(C10,GBOC!$E$7:$DG$29,$B$22,0)</f>
        <v>4</v>
      </c>
      <c r="N10" s="14">
        <f t="shared" si="4"/>
        <v>1</v>
      </c>
      <c r="O10" s="46">
        <f t="shared" si="5"/>
        <v>0</v>
      </c>
      <c r="P10" s="52">
        <f>VLOOKUP(C10,'Giao CT'!$D$6:$S$20,6,0)</f>
        <v>4</v>
      </c>
      <c r="Q10" s="58">
        <f>VLOOKUP(C10,GBOC!$E$7:$DG$29,$B$23,0)</f>
        <v>2</v>
      </c>
      <c r="R10" s="14">
        <f t="shared" si="6"/>
        <v>0.5</v>
      </c>
      <c r="S10" s="46">
        <f t="shared" si="7"/>
        <v>2</v>
      </c>
      <c r="T10" s="52">
        <f>VLOOKUP(C10,'Giao CT'!$D$6:$S$20,7,0)</f>
        <v>3</v>
      </c>
      <c r="U10" s="13">
        <f>VLOOKUP(C10,GBOC!$E$7:$DG$29,$B$24,0)</f>
        <v>4</v>
      </c>
      <c r="V10" s="14">
        <f t="shared" si="8"/>
        <v>1.3333333333333333</v>
      </c>
      <c r="W10" s="44">
        <f t="shared" si="9"/>
        <v>-1</v>
      </c>
      <c r="X10" s="12">
        <f>VLOOKUP(C10,'Giao CT'!$D$6:$S$20,8,0)</f>
        <v>1</v>
      </c>
      <c r="Y10" s="13">
        <f>VLOOKUP(C10,GBOC!$E$7:$DG$29,$B$25,0)</f>
        <v>3</v>
      </c>
      <c r="Z10" s="14">
        <f t="shared" si="10"/>
        <v>3</v>
      </c>
      <c r="AA10" s="46">
        <f t="shared" si="11"/>
        <v>-2</v>
      </c>
      <c r="AB10" s="51">
        <f>VLOOKUP(C10,'Giao CT'!$D$6:$S$20,9,0)</f>
        <v>30</v>
      </c>
      <c r="AC10" s="13">
        <f>VLOOKUP(C10,GBOC!$E$7:$DG$29,$B$26,0)</f>
        <v>26</v>
      </c>
      <c r="AD10" s="14">
        <f t="shared" si="12"/>
        <v>0.8666666666666667</v>
      </c>
      <c r="AE10" s="46">
        <f t="shared" si="13"/>
        <v>4</v>
      </c>
      <c r="AF10" s="51">
        <f>VLOOKUP(C10,'Giao CT'!$D$6:$S$20,10,0)</f>
        <v>8</v>
      </c>
      <c r="AG10" s="13">
        <f>VLOOKUP(C10,GBOC!$E$7:$DG$29,$B$27,0)</f>
        <v>3</v>
      </c>
      <c r="AH10" s="14">
        <f t="shared" si="14"/>
        <v>0.375</v>
      </c>
      <c r="AI10" s="46">
        <f t="shared" si="15"/>
        <v>5</v>
      </c>
      <c r="AJ10" s="51">
        <f>VLOOKUP(C10,'Giao CT'!$D$6:$S$20,11,0)</f>
        <v>4</v>
      </c>
      <c r="AK10" s="13">
        <v>3</v>
      </c>
      <c r="AL10" s="14">
        <f t="shared" si="16"/>
        <v>1.25</v>
      </c>
      <c r="AM10" s="61">
        <f t="shared" si="17"/>
        <v>1.25</v>
      </c>
      <c r="AN10" s="51">
        <f>VLOOKUP(C10,'Giao CT'!$D$6:$S$20,12,0)</f>
        <v>4</v>
      </c>
      <c r="AO10" s="13">
        <f>VLOOKUP(C10,GBOC!$E$7:$DG$29,$B$29,0)</f>
        <v>1</v>
      </c>
      <c r="AP10" s="14">
        <f t="shared" si="18"/>
        <v>1.75</v>
      </c>
      <c r="AQ10" s="61">
        <f t="shared" si="19"/>
        <v>1.75</v>
      </c>
      <c r="AR10" s="33">
        <v>0.97</v>
      </c>
      <c r="AS10" s="112">
        <f>(VLOOKUP(B10,cuoc!$B$7:$P$27,14,0))*1%</f>
        <v>0.97239999999999993</v>
      </c>
      <c r="AT10" s="14">
        <f t="shared" si="20"/>
        <v>1.0212389380530971</v>
      </c>
      <c r="AU10" s="48">
        <f t="shared" si="21"/>
        <v>-2.3999999999999577E-3</v>
      </c>
      <c r="AV10" s="51">
        <f>VLOOKUP(C10,'Giao CT'!$D$6:$S$20,14,0)</f>
        <v>1</v>
      </c>
      <c r="AW10" s="13">
        <f>VLOOKUP(C10,GBOC!$E$7:$DG$29,$B$31,0)</f>
        <v>0</v>
      </c>
      <c r="AX10" s="14">
        <f t="shared" si="22"/>
        <v>0</v>
      </c>
      <c r="AY10" s="48">
        <f t="shared" si="23"/>
        <v>1</v>
      </c>
      <c r="AZ10" s="51">
        <f>VLOOKUP(C10,'Giao CT'!$D$6:$S$20,15,0)</f>
        <v>1</v>
      </c>
      <c r="BA10" s="13">
        <f>VLOOKUP(C10,GBOC!$E$7:$DG$29,$B$32,0)</f>
        <v>0</v>
      </c>
      <c r="BB10" s="104">
        <f t="shared" si="24"/>
        <v>0</v>
      </c>
      <c r="BC10" s="48">
        <f t="shared" si="25"/>
        <v>1</v>
      </c>
      <c r="BD10" s="51">
        <f>VLOOKUP(C10,'Giao CT'!$D$6:$S$20,16,0)</f>
        <v>0</v>
      </c>
      <c r="BE10" s="13">
        <f>VLOOKUP(C10,GBOC!$E$7:$DG$29,$B$33,0)</f>
        <v>0</v>
      </c>
      <c r="BF10" s="14">
        <f t="shared" si="26"/>
        <v>1</v>
      </c>
      <c r="BG10" s="48">
        <f t="shared" si="27"/>
        <v>0</v>
      </c>
    </row>
    <row r="11" spans="1:675" s="18" customFormat="1" ht="20" customHeight="1" x14ac:dyDescent="0.45">
      <c r="A11" s="92" t="s">
        <v>27</v>
      </c>
      <c r="B11" s="89" t="s">
        <v>86</v>
      </c>
      <c r="C11" s="105" t="s">
        <v>87</v>
      </c>
      <c r="D11" s="12">
        <f>VLOOKUP(C11,'Giao CT'!$D$6:$S$20,3,0)</f>
        <v>8</v>
      </c>
      <c r="E11" s="58">
        <f>VLOOKUP(C11,GBOC!$E$7:$DG$29,$B$20,0)</f>
        <v>8</v>
      </c>
      <c r="F11" s="14">
        <f t="shared" si="0"/>
        <v>1</v>
      </c>
      <c r="G11" s="46">
        <f t="shared" si="1"/>
        <v>0</v>
      </c>
      <c r="H11" s="12">
        <f>VLOOKUP(C11,'Giao CT'!$D$6:$S$20,4,0)</f>
        <v>4</v>
      </c>
      <c r="I11" s="13">
        <f>VLOOKUP(C11,GBOC!$E$7:$DG$29,$B$21,0)</f>
        <v>5</v>
      </c>
      <c r="J11" s="14">
        <f t="shared" si="2"/>
        <v>1.25</v>
      </c>
      <c r="K11" s="46">
        <f t="shared" si="3"/>
        <v>-1</v>
      </c>
      <c r="L11" s="12">
        <f>VLOOKUP(C11,'Giao CT'!$D$6:$S$20,5,0)</f>
        <v>5</v>
      </c>
      <c r="M11" s="58">
        <f>VLOOKUP(C11,GBOC!$E$7:$DG$29,$B$22,0)</f>
        <v>4</v>
      </c>
      <c r="N11" s="14">
        <f t="shared" si="4"/>
        <v>0.8</v>
      </c>
      <c r="O11" s="46">
        <f t="shared" si="5"/>
        <v>1</v>
      </c>
      <c r="P11" s="52">
        <f>VLOOKUP(C11,'Giao CT'!$D$6:$S$20,6,0)</f>
        <v>5</v>
      </c>
      <c r="Q11" s="58">
        <f>VLOOKUP(C11,GBOC!$E$7:$DG$29,$B$23,0)</f>
        <v>1</v>
      </c>
      <c r="R11" s="14">
        <f t="shared" si="6"/>
        <v>0.2</v>
      </c>
      <c r="S11" s="46">
        <f t="shared" si="7"/>
        <v>4</v>
      </c>
      <c r="T11" s="52">
        <f>VLOOKUP(C11,'Giao CT'!$D$6:$S$20,7,0)</f>
        <v>4</v>
      </c>
      <c r="U11" s="13">
        <f>VLOOKUP(C11,GBOC!$E$7:$DG$29,$B$24,0)</f>
        <v>5</v>
      </c>
      <c r="V11" s="14">
        <f t="shared" si="8"/>
        <v>1.25</v>
      </c>
      <c r="W11" s="44">
        <f t="shared" si="9"/>
        <v>-1</v>
      </c>
      <c r="X11" s="12">
        <f>VLOOKUP(C11,'Giao CT'!$D$6:$S$20,8,0)</f>
        <v>1</v>
      </c>
      <c r="Y11" s="13">
        <f>VLOOKUP(C11,GBOC!$E$7:$DG$29,$B$25,0)</f>
        <v>1</v>
      </c>
      <c r="Z11" s="14">
        <f t="shared" si="10"/>
        <v>1</v>
      </c>
      <c r="AA11" s="46">
        <f t="shared" si="11"/>
        <v>0</v>
      </c>
      <c r="AB11" s="51">
        <f>VLOOKUP(C11,'Giao CT'!$D$6:$S$20,9,0)</f>
        <v>50</v>
      </c>
      <c r="AC11" s="13">
        <f>VLOOKUP(C11,GBOC!$E$7:$DG$29,$B$26,0)</f>
        <v>71</v>
      </c>
      <c r="AD11" s="14">
        <f t="shared" si="12"/>
        <v>1.42</v>
      </c>
      <c r="AE11" s="46">
        <f t="shared" si="13"/>
        <v>-21</v>
      </c>
      <c r="AF11" s="51">
        <f>VLOOKUP(C11,'Giao CT'!$D$6:$S$20,10,0)</f>
        <v>9</v>
      </c>
      <c r="AG11" s="13">
        <f>VLOOKUP(C11,GBOC!$E$7:$DG$29,$B$27,0)</f>
        <v>11</v>
      </c>
      <c r="AH11" s="14">
        <f t="shared" si="14"/>
        <v>1.2222222222222223</v>
      </c>
      <c r="AI11" s="46">
        <f t="shared" si="15"/>
        <v>-2</v>
      </c>
      <c r="AJ11" s="51">
        <f>VLOOKUP(C11,'Giao CT'!$D$6:$S$20,11,0)</f>
        <v>4</v>
      </c>
      <c r="AK11" s="13">
        <v>19</v>
      </c>
      <c r="AL11" s="14">
        <f t="shared" si="16"/>
        <v>-2.75</v>
      </c>
      <c r="AM11" s="61">
        <f t="shared" si="17"/>
        <v>0</v>
      </c>
      <c r="AN11" s="51">
        <f>VLOOKUP(C11,'Giao CT'!$D$6:$S$20,12,0)</f>
        <v>5</v>
      </c>
      <c r="AO11" s="13">
        <f>VLOOKUP(C11,GBOC!$E$7:$DG$29,$B$29,0)</f>
        <v>2</v>
      </c>
      <c r="AP11" s="14">
        <f t="shared" si="18"/>
        <v>1.6</v>
      </c>
      <c r="AQ11" s="61">
        <f t="shared" si="19"/>
        <v>1.6</v>
      </c>
      <c r="AR11" s="33">
        <v>0.97</v>
      </c>
      <c r="AS11" s="112">
        <f>(VLOOKUP(B11,cuoc!$B$7:$P$27,14,0))*1%</f>
        <v>0.95900000000000007</v>
      </c>
      <c r="AT11" s="14">
        <f t="shared" si="20"/>
        <v>0.8</v>
      </c>
      <c r="AU11" s="48">
        <f t="shared" si="21"/>
        <v>1.0999999999999899E-2</v>
      </c>
      <c r="AV11" s="51">
        <f>VLOOKUP(C11,'Giao CT'!$D$6:$S$20,14,0)</f>
        <v>2</v>
      </c>
      <c r="AW11" s="13">
        <f>VLOOKUP(C11,GBOC!$E$7:$DG$29,$B$31,0)</f>
        <v>0</v>
      </c>
      <c r="AX11" s="14">
        <f t="shared" si="22"/>
        <v>0</v>
      </c>
      <c r="AY11" s="48">
        <f t="shared" si="23"/>
        <v>2</v>
      </c>
      <c r="AZ11" s="51">
        <f>VLOOKUP(C11,'Giao CT'!$D$6:$S$20,15,0)</f>
        <v>1</v>
      </c>
      <c r="BA11" s="13">
        <f>VLOOKUP(C11,GBOC!$E$7:$DG$29,$B$32,0)</f>
        <v>2</v>
      </c>
      <c r="BB11" s="104">
        <f t="shared" si="24"/>
        <v>2</v>
      </c>
      <c r="BC11" s="48">
        <f t="shared" si="25"/>
        <v>-1</v>
      </c>
      <c r="BD11" s="51">
        <f>VLOOKUP(C11,'Giao CT'!$D$6:$S$20,16,0)</f>
        <v>1</v>
      </c>
      <c r="BE11" s="13">
        <f>VLOOKUP(C11,GBOC!$E$7:$DG$29,$B$33,0)</f>
        <v>0</v>
      </c>
      <c r="BF11" s="14">
        <f t="shared" si="26"/>
        <v>0</v>
      </c>
      <c r="BG11" s="48">
        <f t="shared" si="27"/>
        <v>1</v>
      </c>
    </row>
    <row r="12" spans="1:675" ht="17.649999999999999" customHeight="1" x14ac:dyDescent="0.45">
      <c r="A12" s="92" t="s">
        <v>28</v>
      </c>
      <c r="B12" s="94" t="s">
        <v>98</v>
      </c>
      <c r="C12" s="114" t="s">
        <v>99</v>
      </c>
      <c r="D12" s="12">
        <f>VLOOKUP(C12,'Giao CT'!$D$6:$S$20,3,0)</f>
        <v>8</v>
      </c>
      <c r="E12" s="58">
        <f>VLOOKUP(C12,GBOC!$E$7:$DG$29,$B$20,0)</f>
        <v>10</v>
      </c>
      <c r="F12" s="14">
        <f t="shared" si="0"/>
        <v>1.25</v>
      </c>
      <c r="G12" s="46">
        <f t="shared" si="1"/>
        <v>-2</v>
      </c>
      <c r="H12" s="12">
        <f>VLOOKUP(C12,'Giao CT'!$D$6:$S$20,4,0)</f>
        <v>4</v>
      </c>
      <c r="I12" s="13">
        <f>VLOOKUP(C12,GBOC!$E$7:$DG$29,$B$21,0)</f>
        <v>4</v>
      </c>
      <c r="J12" s="14">
        <f t="shared" si="2"/>
        <v>1</v>
      </c>
      <c r="K12" s="46">
        <f t="shared" si="3"/>
        <v>0</v>
      </c>
      <c r="L12" s="12">
        <f>VLOOKUP(C12,'Giao CT'!$D$6:$S$20,5,0)</f>
        <v>5</v>
      </c>
      <c r="M12" s="58">
        <f>VLOOKUP(C12,GBOC!$E$7:$DG$29,$B$22,0)</f>
        <v>3</v>
      </c>
      <c r="N12" s="14">
        <f t="shared" si="4"/>
        <v>0.6</v>
      </c>
      <c r="O12" s="46">
        <f t="shared" si="5"/>
        <v>2</v>
      </c>
      <c r="P12" s="52">
        <f>VLOOKUP(C12,'Giao CT'!$D$6:$S$20,6,0)</f>
        <v>5</v>
      </c>
      <c r="Q12" s="58">
        <f>VLOOKUP(C12,GBOC!$E$7:$DG$29,$B$23,0)</f>
        <v>6</v>
      </c>
      <c r="R12" s="14">
        <f t="shared" si="6"/>
        <v>1.2</v>
      </c>
      <c r="S12" s="46">
        <f t="shared" si="7"/>
        <v>-1</v>
      </c>
      <c r="T12" s="52">
        <f>VLOOKUP(C12,'Giao CT'!$D$6:$S$20,7,0)</f>
        <v>3</v>
      </c>
      <c r="U12" s="13">
        <f>VLOOKUP(C12,GBOC!$E$7:$DG$29,$B$24,0)</f>
        <v>4</v>
      </c>
      <c r="V12" s="14">
        <f t="shared" si="8"/>
        <v>1.3333333333333333</v>
      </c>
      <c r="W12" s="44">
        <f t="shared" si="9"/>
        <v>-1</v>
      </c>
      <c r="X12" s="12">
        <f>VLOOKUP(C12,'Giao CT'!$D$6:$S$20,8,0)</f>
        <v>1</v>
      </c>
      <c r="Y12" s="13">
        <f>VLOOKUP(C12,GBOC!$E$7:$DG$29,$B$25,0)</f>
        <v>1</v>
      </c>
      <c r="Z12" s="14">
        <f t="shared" si="10"/>
        <v>1</v>
      </c>
      <c r="AA12" s="46">
        <f t="shared" si="11"/>
        <v>0</v>
      </c>
      <c r="AB12" s="51">
        <f>VLOOKUP(C12,'Giao CT'!$D$6:$S$20,9,0)</f>
        <v>30</v>
      </c>
      <c r="AC12" s="13">
        <f>VLOOKUP(C12,GBOC!$E$7:$DG$29,$B$26,0)</f>
        <v>61</v>
      </c>
      <c r="AD12" s="14">
        <f t="shared" si="12"/>
        <v>2.0333333333333332</v>
      </c>
      <c r="AE12" s="46">
        <f t="shared" si="13"/>
        <v>-31</v>
      </c>
      <c r="AF12" s="51">
        <f>VLOOKUP(C12,'Giao CT'!$D$6:$S$20,10,0)</f>
        <v>9</v>
      </c>
      <c r="AG12" s="13">
        <f>VLOOKUP(C12,GBOC!$E$7:$DG$29,$B$27,0)</f>
        <v>11</v>
      </c>
      <c r="AH12" s="14">
        <f t="shared" si="14"/>
        <v>1.2222222222222223</v>
      </c>
      <c r="AI12" s="46">
        <f t="shared" si="15"/>
        <v>-2</v>
      </c>
      <c r="AJ12" s="51">
        <f>VLOOKUP(C12,'Giao CT'!$D$6:$S$20,11,0)</f>
        <v>4</v>
      </c>
      <c r="AK12" s="13">
        <v>4</v>
      </c>
      <c r="AL12" s="14">
        <f t="shared" si="16"/>
        <v>1</v>
      </c>
      <c r="AM12" s="61">
        <f t="shared" si="17"/>
        <v>1</v>
      </c>
      <c r="AN12" s="51">
        <f>VLOOKUP(C12,'Giao CT'!$D$6:$S$20,12,0)</f>
        <v>5</v>
      </c>
      <c r="AO12" s="13">
        <f>VLOOKUP(C12,GBOC!$E$7:$DG$29,$B$29,0)</f>
        <v>2</v>
      </c>
      <c r="AP12" s="14">
        <f t="shared" si="18"/>
        <v>1.6</v>
      </c>
      <c r="AQ12" s="61">
        <f t="shared" si="19"/>
        <v>1.6</v>
      </c>
      <c r="AR12" s="33">
        <v>0.97</v>
      </c>
      <c r="AS12" s="112">
        <f>(VLOOKUP(B12,cuoc!$B$7:$P$27,14,0))*1%</f>
        <v>0.95920000000000005</v>
      </c>
      <c r="AT12" s="14">
        <f t="shared" si="20"/>
        <v>0.8</v>
      </c>
      <c r="AU12" s="48">
        <f t="shared" si="21"/>
        <v>1.0799999999999921E-2</v>
      </c>
      <c r="AV12" s="51">
        <f>VLOOKUP(C12,'Giao CT'!$D$6:$S$20,14,0)</f>
        <v>3</v>
      </c>
      <c r="AW12" s="13">
        <f>VLOOKUP(C12,GBOC!$E$7:$DG$29,$B$31,0)</f>
        <v>0</v>
      </c>
      <c r="AX12" s="14">
        <f t="shared" si="22"/>
        <v>0</v>
      </c>
      <c r="AY12" s="48">
        <f t="shared" si="23"/>
        <v>3</v>
      </c>
      <c r="AZ12" s="51">
        <f>VLOOKUP(C12,'Giao CT'!$D$6:$S$20,15,0)</f>
        <v>1</v>
      </c>
      <c r="BA12" s="13">
        <f>VLOOKUP(C12,GBOC!$E$7:$DG$29,$B$32,0)</f>
        <v>1</v>
      </c>
      <c r="BB12" s="104">
        <f t="shared" si="24"/>
        <v>1</v>
      </c>
      <c r="BC12" s="48">
        <f t="shared" si="25"/>
        <v>0</v>
      </c>
      <c r="BD12" s="51">
        <f>VLOOKUP(C12,'Giao CT'!$D$6:$S$20,16,0)</f>
        <v>0</v>
      </c>
      <c r="BE12" s="13">
        <f>VLOOKUP(C12,GBOC!$E$7:$DG$29,$B$33,0)</f>
        <v>0</v>
      </c>
      <c r="BF12" s="14">
        <f t="shared" si="26"/>
        <v>1</v>
      </c>
      <c r="BG12" s="48">
        <f t="shared" si="27"/>
        <v>0</v>
      </c>
    </row>
    <row r="13" spans="1:675" ht="17.850000000000001" customHeight="1" x14ac:dyDescent="0.45">
      <c r="A13" s="92" t="s">
        <v>23</v>
      </c>
      <c r="B13" s="94" t="s">
        <v>106</v>
      </c>
      <c r="C13" s="105" t="s">
        <v>107</v>
      </c>
      <c r="D13" s="12">
        <f>VLOOKUP(C13,'Giao CT'!$D$6:$S$20,3,0)</f>
        <v>7</v>
      </c>
      <c r="E13" s="58">
        <f>VLOOKUP(C13,GBOC!$E$7:$DG$29,$B$20,0)</f>
        <v>7</v>
      </c>
      <c r="F13" s="14">
        <f t="shared" si="0"/>
        <v>1</v>
      </c>
      <c r="G13" s="46">
        <f t="shared" si="1"/>
        <v>0</v>
      </c>
      <c r="H13" s="12">
        <f>VLOOKUP(C13,'Giao CT'!$D$6:$S$20,4,0)</f>
        <v>4</v>
      </c>
      <c r="I13" s="13">
        <f>VLOOKUP(C13,GBOC!$E$7:$DG$29,$B$21,0)</f>
        <v>10</v>
      </c>
      <c r="J13" s="14">
        <f t="shared" si="2"/>
        <v>2.5</v>
      </c>
      <c r="K13" s="46">
        <f t="shared" si="3"/>
        <v>-6</v>
      </c>
      <c r="L13" s="12">
        <f>VLOOKUP(C13,'Giao CT'!$D$6:$S$20,5,0)</f>
        <v>5</v>
      </c>
      <c r="M13" s="58">
        <f>VLOOKUP(C13,GBOC!$E$7:$DG$29,$B$22,0)</f>
        <v>3</v>
      </c>
      <c r="N13" s="14">
        <f t="shared" si="4"/>
        <v>0.6</v>
      </c>
      <c r="O13" s="46">
        <f t="shared" si="5"/>
        <v>2</v>
      </c>
      <c r="P13" s="52">
        <f>VLOOKUP(C13,'Giao CT'!$D$6:$S$20,6,0)</f>
        <v>4</v>
      </c>
      <c r="Q13" s="58">
        <f>VLOOKUP(C13,GBOC!$E$7:$DG$29,$B$23,0)</f>
        <v>6</v>
      </c>
      <c r="R13" s="14">
        <f t="shared" si="6"/>
        <v>1.5</v>
      </c>
      <c r="S13" s="46">
        <f t="shared" si="7"/>
        <v>-2</v>
      </c>
      <c r="T13" s="52">
        <f>VLOOKUP(C13,'Giao CT'!$D$6:$S$20,7,0)</f>
        <v>4</v>
      </c>
      <c r="U13" s="13">
        <f>VLOOKUP(C13,GBOC!$E$7:$DG$29,$B$24,0)</f>
        <v>8</v>
      </c>
      <c r="V13" s="14">
        <f t="shared" si="8"/>
        <v>2</v>
      </c>
      <c r="W13" s="44">
        <f t="shared" si="9"/>
        <v>-4</v>
      </c>
      <c r="X13" s="12">
        <f>VLOOKUP(C13,'Giao CT'!$D$6:$S$20,8,0)</f>
        <v>1</v>
      </c>
      <c r="Y13" s="13">
        <f>VLOOKUP(C13,GBOC!$E$7:$DG$29,$B$25,0)</f>
        <v>12</v>
      </c>
      <c r="Z13" s="14">
        <f t="shared" si="10"/>
        <v>12</v>
      </c>
      <c r="AA13" s="46">
        <f t="shared" si="11"/>
        <v>-11</v>
      </c>
      <c r="AB13" s="51">
        <f>VLOOKUP(C13,'Giao CT'!$D$6:$S$20,9,0)</f>
        <v>30</v>
      </c>
      <c r="AC13" s="13">
        <f>VLOOKUP(C13,GBOC!$E$7:$DG$29,$B$26,0)</f>
        <v>73</v>
      </c>
      <c r="AD13" s="14">
        <f t="shared" si="12"/>
        <v>2.4333333333333331</v>
      </c>
      <c r="AE13" s="46">
        <f t="shared" si="13"/>
        <v>-43</v>
      </c>
      <c r="AF13" s="51">
        <f>VLOOKUP(C13,'Giao CT'!$D$6:$S$20,10,0)</f>
        <v>8</v>
      </c>
      <c r="AG13" s="13">
        <f>VLOOKUP(C13,GBOC!$E$7:$DG$29,$B$27,0)</f>
        <v>8</v>
      </c>
      <c r="AH13" s="14">
        <f t="shared" si="14"/>
        <v>1</v>
      </c>
      <c r="AI13" s="46">
        <f t="shared" si="15"/>
        <v>0</v>
      </c>
      <c r="AJ13" s="51">
        <f>VLOOKUP(C13,'Giao CT'!$D$6:$S$20,11,0)</f>
        <v>4</v>
      </c>
      <c r="AK13" s="13">
        <v>8</v>
      </c>
      <c r="AL13" s="14">
        <f t="shared" si="16"/>
        <v>0</v>
      </c>
      <c r="AM13" s="61">
        <f t="shared" si="17"/>
        <v>0</v>
      </c>
      <c r="AN13" s="51">
        <f>VLOOKUP(C13,'Giao CT'!$D$6:$S$20,12,0)</f>
        <v>5</v>
      </c>
      <c r="AO13" s="13">
        <f>VLOOKUP(C13,GBOC!$E$7:$DG$29,$B$29,0)</f>
        <v>5</v>
      </c>
      <c r="AP13" s="14">
        <f t="shared" si="18"/>
        <v>1</v>
      </c>
      <c r="AQ13" s="61">
        <f t="shared" si="19"/>
        <v>1</v>
      </c>
      <c r="AR13" s="33">
        <v>0.97</v>
      </c>
      <c r="AS13" s="112">
        <f>(VLOOKUP(B13,cuoc!$B$7:$P$27,14,0))*1%</f>
        <v>0.96050000000000002</v>
      </c>
      <c r="AT13" s="14">
        <f t="shared" si="20"/>
        <v>0.8</v>
      </c>
      <c r="AU13" s="48">
        <f t="shared" si="21"/>
        <v>9.4999999999999529E-3</v>
      </c>
      <c r="AV13" s="51">
        <f>VLOOKUP(C13,'Giao CT'!$D$6:$S$20,14,0)</f>
        <v>3</v>
      </c>
      <c r="AW13" s="13">
        <f>VLOOKUP(C13,GBOC!$E$7:$DG$29,$B$31,0)</f>
        <v>2</v>
      </c>
      <c r="AX13" s="14">
        <f t="shared" si="22"/>
        <v>0.66666666666666663</v>
      </c>
      <c r="AY13" s="48">
        <f t="shared" si="23"/>
        <v>1</v>
      </c>
      <c r="AZ13" s="51">
        <f>VLOOKUP(C13,'Giao CT'!$D$6:$S$20,15,0)</f>
        <v>1</v>
      </c>
      <c r="BA13" s="13">
        <f>VLOOKUP(C13,GBOC!$E$7:$DG$29,$B$32,0)</f>
        <v>1</v>
      </c>
      <c r="BB13" s="104">
        <f t="shared" si="24"/>
        <v>1</v>
      </c>
      <c r="BC13" s="48">
        <f t="shared" si="25"/>
        <v>0</v>
      </c>
      <c r="BD13" s="51">
        <f>VLOOKUP(C13,'Giao CT'!$D$6:$S$20,16,0)</f>
        <v>0</v>
      </c>
      <c r="BE13" s="13">
        <f>VLOOKUP(C13,GBOC!$E$7:$DG$29,$B$33,0)</f>
        <v>2</v>
      </c>
      <c r="BF13" s="14">
        <f t="shared" si="26"/>
        <v>1</v>
      </c>
      <c r="BG13" s="48">
        <f t="shared" si="27"/>
        <v>-2</v>
      </c>
    </row>
    <row r="14" spans="1:675" ht="17.850000000000001" customHeight="1" x14ac:dyDescent="0.45">
      <c r="A14" s="92" t="s">
        <v>32</v>
      </c>
      <c r="B14" s="96" t="s">
        <v>109</v>
      </c>
      <c r="C14" s="105" t="s">
        <v>110</v>
      </c>
      <c r="D14" s="12">
        <f>VLOOKUP(C14,'Giao CT'!$D$6:$S$20,3,0)</f>
        <v>8</v>
      </c>
      <c r="E14" s="58">
        <f>VLOOKUP(C14,GBOC!$E$7:$DG$29,$B$20,0)</f>
        <v>8</v>
      </c>
      <c r="F14" s="14">
        <f t="shared" si="0"/>
        <v>1</v>
      </c>
      <c r="G14" s="46">
        <f t="shared" si="1"/>
        <v>0</v>
      </c>
      <c r="H14" s="12">
        <f>VLOOKUP(C14,'Giao CT'!$D$6:$S$20,4,0)</f>
        <v>4</v>
      </c>
      <c r="I14" s="13">
        <f>VLOOKUP(C14,GBOC!$E$7:$DG$29,$B$21,0)</f>
        <v>2</v>
      </c>
      <c r="J14" s="14">
        <f t="shared" si="2"/>
        <v>0.5</v>
      </c>
      <c r="K14" s="46">
        <f t="shared" si="3"/>
        <v>2</v>
      </c>
      <c r="L14" s="12">
        <f>VLOOKUP(C14,'Giao CT'!$D$6:$S$20,5,0)</f>
        <v>5</v>
      </c>
      <c r="M14" s="58">
        <f>VLOOKUP(C14,GBOC!$E$7:$DG$29,$B$22,0)</f>
        <v>2</v>
      </c>
      <c r="N14" s="14">
        <f t="shared" si="4"/>
        <v>0.4</v>
      </c>
      <c r="O14" s="46">
        <f t="shared" si="5"/>
        <v>3</v>
      </c>
      <c r="P14" s="52">
        <f>VLOOKUP(C14,'Giao CT'!$D$6:$S$20,6,0)</f>
        <v>5</v>
      </c>
      <c r="Q14" s="58">
        <f>VLOOKUP(C14,GBOC!$E$7:$DG$29,$B$23,0)</f>
        <v>3</v>
      </c>
      <c r="R14" s="14">
        <f t="shared" si="6"/>
        <v>0.6</v>
      </c>
      <c r="S14" s="46">
        <f t="shared" si="7"/>
        <v>2</v>
      </c>
      <c r="T14" s="52">
        <f>VLOOKUP(C14,'Giao CT'!$D$6:$S$20,7,0)</f>
        <v>3</v>
      </c>
      <c r="U14" s="13">
        <f>VLOOKUP(C14,GBOC!$E$7:$DG$29,$B$24,0)</f>
        <v>2</v>
      </c>
      <c r="V14" s="14">
        <f t="shared" si="8"/>
        <v>0.66666666666666663</v>
      </c>
      <c r="W14" s="44">
        <f t="shared" si="9"/>
        <v>1</v>
      </c>
      <c r="X14" s="12">
        <f>VLOOKUP(C14,'Giao CT'!$D$6:$S$20,8,0)</f>
        <v>1</v>
      </c>
      <c r="Y14" s="13">
        <f>VLOOKUP(C14,GBOC!$E$7:$DG$29,$B$25,0)</f>
        <v>1</v>
      </c>
      <c r="Z14" s="14">
        <f t="shared" si="10"/>
        <v>1</v>
      </c>
      <c r="AA14" s="46">
        <f t="shared" si="11"/>
        <v>0</v>
      </c>
      <c r="AB14" s="51">
        <f>VLOOKUP(C14,'Giao CT'!$D$6:$S$20,9,0)</f>
        <v>30</v>
      </c>
      <c r="AC14" s="13">
        <f>VLOOKUP(C14,GBOC!$E$7:$DG$29,$B$26,0)</f>
        <v>13</v>
      </c>
      <c r="AD14" s="14">
        <f t="shared" si="12"/>
        <v>0.43333333333333335</v>
      </c>
      <c r="AE14" s="46">
        <f t="shared" si="13"/>
        <v>17</v>
      </c>
      <c r="AF14" s="51">
        <f>VLOOKUP(C14,'Giao CT'!$D$6:$S$20,10,0)</f>
        <v>9</v>
      </c>
      <c r="AG14" s="13">
        <f>VLOOKUP(C14,GBOC!$E$7:$DG$29,$B$27,0)</f>
        <v>10</v>
      </c>
      <c r="AH14" s="14">
        <f t="shared" si="14"/>
        <v>1.1111111111111112</v>
      </c>
      <c r="AI14" s="46">
        <f t="shared" si="15"/>
        <v>-1</v>
      </c>
      <c r="AJ14" s="51">
        <f>VLOOKUP(C14,'Giao CT'!$D$6:$S$20,11,0)</f>
        <v>4</v>
      </c>
      <c r="AK14" s="13">
        <v>4</v>
      </c>
      <c r="AL14" s="14">
        <f t="shared" si="16"/>
        <v>1</v>
      </c>
      <c r="AM14" s="61">
        <f t="shared" si="17"/>
        <v>1</v>
      </c>
      <c r="AN14" s="51">
        <f>VLOOKUP(C14,'Giao CT'!$D$6:$S$20,12,0)</f>
        <v>5</v>
      </c>
      <c r="AO14" s="13">
        <f>VLOOKUP(C14,GBOC!$E$7:$DG$29,$B$29,0)</f>
        <v>6</v>
      </c>
      <c r="AP14" s="14">
        <f t="shared" si="18"/>
        <v>0.8</v>
      </c>
      <c r="AQ14" s="61">
        <f t="shared" si="19"/>
        <v>0.8</v>
      </c>
      <c r="AR14" s="33">
        <v>0.97</v>
      </c>
      <c r="AS14" s="112">
        <f>(VLOOKUP(B14,cuoc!$B$7:$P$27,14,0))*1%</f>
        <v>0.9325</v>
      </c>
      <c r="AT14" s="14">
        <f t="shared" si="20"/>
        <v>0</v>
      </c>
      <c r="AU14" s="48">
        <f t="shared" si="21"/>
        <v>3.7499999999999978E-2</v>
      </c>
      <c r="AV14" s="51">
        <f>VLOOKUP(C14,'Giao CT'!$D$6:$S$20,14,0)</f>
        <v>2</v>
      </c>
      <c r="AW14" s="13">
        <f>VLOOKUP(C14,GBOC!$E$7:$DG$29,$B$31,0)</f>
        <v>0</v>
      </c>
      <c r="AX14" s="14">
        <f t="shared" si="22"/>
        <v>0</v>
      </c>
      <c r="AY14" s="48">
        <f t="shared" si="23"/>
        <v>2</v>
      </c>
      <c r="AZ14" s="51">
        <f>VLOOKUP(C14,'Giao CT'!$D$6:$S$20,15,0)</f>
        <v>1</v>
      </c>
      <c r="BA14" s="13">
        <f>VLOOKUP(C14,GBOC!$E$7:$DG$29,$B$32,0)</f>
        <v>1</v>
      </c>
      <c r="BB14" s="104">
        <f t="shared" si="24"/>
        <v>1</v>
      </c>
      <c r="BC14" s="48">
        <f t="shared" si="25"/>
        <v>0</v>
      </c>
      <c r="BD14" s="51">
        <f>VLOOKUP(C14,'Giao CT'!$D$6:$S$20,16,0)</f>
        <v>0</v>
      </c>
      <c r="BE14" s="13">
        <f>VLOOKUP(C14,GBOC!$E$7:$DG$29,$B$33,0)</f>
        <v>0</v>
      </c>
      <c r="BF14" s="14">
        <f t="shared" si="26"/>
        <v>1</v>
      </c>
      <c r="BG14" s="48">
        <f t="shared" si="27"/>
        <v>0</v>
      </c>
    </row>
    <row r="15" spans="1:675" ht="17.850000000000001" customHeight="1" x14ac:dyDescent="0.45">
      <c r="A15" s="92" t="s">
        <v>31</v>
      </c>
      <c r="B15" s="94" t="s">
        <v>112</v>
      </c>
      <c r="C15" s="105" t="s">
        <v>113</v>
      </c>
      <c r="D15" s="12">
        <f>VLOOKUP(C15,'Giao CT'!$D$6:$S$20,3,0)</f>
        <v>7</v>
      </c>
      <c r="E15" s="58">
        <f>VLOOKUP(C15,GBOC!$E$7:$DG$29,$B$20,0)</f>
        <v>7</v>
      </c>
      <c r="F15" s="14">
        <f t="shared" si="0"/>
        <v>1</v>
      </c>
      <c r="G15" s="46">
        <f t="shared" si="1"/>
        <v>0</v>
      </c>
      <c r="H15" s="12">
        <f>VLOOKUP(C15,'Giao CT'!$D$6:$S$20,4,0)</f>
        <v>4</v>
      </c>
      <c r="I15" s="13">
        <f>VLOOKUP(C15,GBOC!$E$7:$DG$29,$B$21,0)</f>
        <v>5</v>
      </c>
      <c r="J15" s="14">
        <f t="shared" si="2"/>
        <v>1.25</v>
      </c>
      <c r="K15" s="46">
        <f t="shared" si="3"/>
        <v>-1</v>
      </c>
      <c r="L15" s="12">
        <f>VLOOKUP(C15,'Giao CT'!$D$6:$S$20,5,0)</f>
        <v>5</v>
      </c>
      <c r="M15" s="58">
        <f>VLOOKUP(C15,GBOC!$E$7:$DG$29,$B$22,0)</f>
        <v>4</v>
      </c>
      <c r="N15" s="14">
        <f t="shared" si="4"/>
        <v>0.8</v>
      </c>
      <c r="O15" s="46">
        <f t="shared" si="5"/>
        <v>1</v>
      </c>
      <c r="P15" s="52">
        <f>VLOOKUP(C15,'Giao CT'!$D$6:$S$20,6,0)</f>
        <v>4</v>
      </c>
      <c r="Q15" s="58">
        <f>VLOOKUP(C15,GBOC!$E$7:$DG$29,$B$23,0)</f>
        <v>3</v>
      </c>
      <c r="R15" s="14">
        <f t="shared" si="6"/>
        <v>0.75</v>
      </c>
      <c r="S15" s="46">
        <f t="shared" si="7"/>
        <v>1</v>
      </c>
      <c r="T15" s="52">
        <f>VLOOKUP(C15,'Giao CT'!$D$6:$S$20,7,0)</f>
        <v>4</v>
      </c>
      <c r="U15" s="13">
        <f>VLOOKUP(C15,GBOC!$E$7:$DG$29,$B$24,0)</f>
        <v>4</v>
      </c>
      <c r="V15" s="14">
        <f t="shared" si="8"/>
        <v>1</v>
      </c>
      <c r="W15" s="44">
        <f t="shared" si="9"/>
        <v>0</v>
      </c>
      <c r="X15" s="12">
        <f>VLOOKUP(C15,'Giao CT'!$D$6:$S$20,8,0)</f>
        <v>1</v>
      </c>
      <c r="Y15" s="13">
        <f>VLOOKUP(C15,GBOC!$E$7:$DG$29,$B$25,0)</f>
        <v>1</v>
      </c>
      <c r="Z15" s="14">
        <f t="shared" si="10"/>
        <v>1</v>
      </c>
      <c r="AA15" s="46">
        <f t="shared" si="11"/>
        <v>0</v>
      </c>
      <c r="AB15" s="51">
        <f>VLOOKUP(C15,'Giao CT'!$D$6:$S$20,9,0)</f>
        <v>30</v>
      </c>
      <c r="AC15" s="13">
        <f>VLOOKUP(C15,GBOC!$E$7:$DG$29,$B$26,0)</f>
        <v>52</v>
      </c>
      <c r="AD15" s="14">
        <f t="shared" si="12"/>
        <v>1.7333333333333334</v>
      </c>
      <c r="AE15" s="46">
        <f t="shared" si="13"/>
        <v>-22</v>
      </c>
      <c r="AF15" s="51">
        <f>VLOOKUP(C15,'Giao CT'!$D$6:$S$20,10,0)</f>
        <v>8</v>
      </c>
      <c r="AG15" s="13">
        <f>VLOOKUP(C15,GBOC!$E$7:$DG$29,$B$27,0)</f>
        <v>6</v>
      </c>
      <c r="AH15" s="14">
        <f t="shared" si="14"/>
        <v>0.75</v>
      </c>
      <c r="AI15" s="46">
        <f t="shared" si="15"/>
        <v>2</v>
      </c>
      <c r="AJ15" s="51">
        <f>VLOOKUP(C15,'Giao CT'!$D$6:$S$20,11,0)</f>
        <v>4</v>
      </c>
      <c r="AK15" s="13">
        <v>4</v>
      </c>
      <c r="AL15" s="14">
        <f t="shared" si="16"/>
        <v>1</v>
      </c>
      <c r="AM15" s="61">
        <f t="shared" si="17"/>
        <v>1</v>
      </c>
      <c r="AN15" s="51">
        <f>VLOOKUP(C15,'Giao CT'!$D$6:$S$20,12,0)</f>
        <v>4</v>
      </c>
      <c r="AO15" s="13">
        <f>VLOOKUP(C15,GBOC!$E$7:$DG$29,$B$29,0)</f>
        <v>2</v>
      </c>
      <c r="AP15" s="14">
        <f t="shared" si="18"/>
        <v>1.5</v>
      </c>
      <c r="AQ15" s="61">
        <f t="shared" si="19"/>
        <v>1.5</v>
      </c>
      <c r="AR15" s="33">
        <v>0.97</v>
      </c>
      <c r="AS15" s="112">
        <f>(VLOOKUP(B15,cuoc!$B$7:$P$27,14,0))*1%</f>
        <v>0.95530000000000004</v>
      </c>
      <c r="AT15" s="14">
        <f t="shared" si="20"/>
        <v>0.5</v>
      </c>
      <c r="AU15" s="48">
        <f t="shared" si="21"/>
        <v>1.4699999999999935E-2</v>
      </c>
      <c r="AV15" s="51">
        <f>VLOOKUP(C15,'Giao CT'!$D$6:$S$20,14,0)</f>
        <v>2</v>
      </c>
      <c r="AW15" s="13">
        <f>VLOOKUP(C15,GBOC!$E$7:$DG$29,$B$31,0)</f>
        <v>0</v>
      </c>
      <c r="AX15" s="14">
        <f t="shared" si="22"/>
        <v>0</v>
      </c>
      <c r="AY15" s="48">
        <f t="shared" si="23"/>
        <v>2</v>
      </c>
      <c r="AZ15" s="51">
        <f>VLOOKUP(C15,'Giao CT'!$D$6:$S$20,15,0)</f>
        <v>1</v>
      </c>
      <c r="BA15" s="13">
        <f>VLOOKUP(C15,GBOC!$E$7:$DG$29,$B$32,0)</f>
        <v>3</v>
      </c>
      <c r="BB15" s="104">
        <f t="shared" si="24"/>
        <v>3</v>
      </c>
      <c r="BC15" s="48">
        <f t="shared" si="25"/>
        <v>-2</v>
      </c>
      <c r="BD15" s="51">
        <f>VLOOKUP(C15,'Giao CT'!$D$6:$S$20,16,0)</f>
        <v>0</v>
      </c>
      <c r="BE15" s="13">
        <f>VLOOKUP(C15,GBOC!$E$7:$DG$29,$B$33,0)</f>
        <v>0</v>
      </c>
      <c r="BF15" s="14">
        <f t="shared" si="26"/>
        <v>1</v>
      </c>
      <c r="BG15" s="48">
        <f t="shared" si="27"/>
        <v>0</v>
      </c>
    </row>
    <row r="16" spans="1:675" ht="17.850000000000001" customHeight="1" x14ac:dyDescent="0.45">
      <c r="A16" s="92" t="s">
        <v>30</v>
      </c>
      <c r="B16" s="94" t="s">
        <v>116</v>
      </c>
      <c r="C16" s="105" t="s">
        <v>117</v>
      </c>
      <c r="D16" s="12">
        <f>VLOOKUP(C16,'Giao CT'!$D$6:$S$20,3,0)</f>
        <v>8</v>
      </c>
      <c r="E16" s="58">
        <f>VLOOKUP(C16,GBOC!$E$7:$DG$29,$B$20,0)</f>
        <v>8</v>
      </c>
      <c r="F16" s="14">
        <f t="shared" si="0"/>
        <v>1</v>
      </c>
      <c r="G16" s="46">
        <f t="shared" si="1"/>
        <v>0</v>
      </c>
      <c r="H16" s="12">
        <f>VLOOKUP(C16,'Giao CT'!$D$6:$S$20,4,0)</f>
        <v>4</v>
      </c>
      <c r="I16" s="13">
        <f>VLOOKUP(C16,GBOC!$E$7:$DG$29,$B$21,0)</f>
        <v>6</v>
      </c>
      <c r="J16" s="14">
        <f t="shared" si="2"/>
        <v>1.5</v>
      </c>
      <c r="K16" s="46">
        <f t="shared" si="3"/>
        <v>-2</v>
      </c>
      <c r="L16" s="12">
        <f>VLOOKUP(C16,'Giao CT'!$D$6:$S$20,5,0)</f>
        <v>5</v>
      </c>
      <c r="M16" s="58">
        <f>VLOOKUP(C16,GBOC!$E$7:$DG$29,$B$22,0)</f>
        <v>3</v>
      </c>
      <c r="N16" s="14">
        <f t="shared" si="4"/>
        <v>0.6</v>
      </c>
      <c r="O16" s="46">
        <f t="shared" si="5"/>
        <v>2</v>
      </c>
      <c r="P16" s="52">
        <f>VLOOKUP(C16,'Giao CT'!$D$6:$S$20,6,0)</f>
        <v>5</v>
      </c>
      <c r="Q16" s="58">
        <f>VLOOKUP(C16,GBOC!$E$7:$DG$29,$B$23,0)</f>
        <v>4</v>
      </c>
      <c r="R16" s="14">
        <f t="shared" si="6"/>
        <v>0.8</v>
      </c>
      <c r="S16" s="46">
        <f t="shared" si="7"/>
        <v>1</v>
      </c>
      <c r="T16" s="52">
        <f>VLOOKUP(C16,'Giao CT'!$D$6:$S$20,7,0)</f>
        <v>4</v>
      </c>
      <c r="U16" s="13">
        <f>VLOOKUP(C16,GBOC!$E$7:$DG$29,$B$24,0)</f>
        <v>4</v>
      </c>
      <c r="V16" s="14">
        <f t="shared" si="8"/>
        <v>1</v>
      </c>
      <c r="W16" s="44">
        <f t="shared" si="9"/>
        <v>0</v>
      </c>
      <c r="X16" s="12">
        <f>VLOOKUP(C16,'Giao CT'!$D$6:$S$20,8,0)</f>
        <v>1</v>
      </c>
      <c r="Y16" s="13">
        <f>VLOOKUP(C16,GBOC!$E$7:$DG$29,$B$25,0)</f>
        <v>2</v>
      </c>
      <c r="Z16" s="14">
        <f t="shared" si="10"/>
        <v>2</v>
      </c>
      <c r="AA16" s="46">
        <f t="shared" si="11"/>
        <v>-1</v>
      </c>
      <c r="AB16" s="51">
        <f>VLOOKUP(C16,'Giao CT'!$D$6:$S$20,9,0)</f>
        <v>30</v>
      </c>
      <c r="AC16" s="13">
        <f>VLOOKUP(C16,GBOC!$E$7:$DG$29,$B$26,0)</f>
        <v>73</v>
      </c>
      <c r="AD16" s="14">
        <f t="shared" si="12"/>
        <v>2.4333333333333331</v>
      </c>
      <c r="AE16" s="46">
        <f t="shared" si="13"/>
        <v>-43</v>
      </c>
      <c r="AF16" s="51">
        <f>VLOOKUP(C16,'Giao CT'!$D$6:$S$20,10,0)</f>
        <v>9</v>
      </c>
      <c r="AG16" s="13">
        <f>VLOOKUP(C16,GBOC!$E$7:$DG$29,$B$27,0)</f>
        <v>12</v>
      </c>
      <c r="AH16" s="14">
        <f t="shared" si="14"/>
        <v>1.3333333333333333</v>
      </c>
      <c r="AI16" s="46">
        <f t="shared" si="15"/>
        <v>-3</v>
      </c>
      <c r="AJ16" s="51">
        <f>VLOOKUP(C16,'Giao CT'!$D$6:$S$20,11,0)</f>
        <v>4</v>
      </c>
      <c r="AK16" s="13">
        <v>4</v>
      </c>
      <c r="AL16" s="14">
        <f t="shared" si="16"/>
        <v>1</v>
      </c>
      <c r="AM16" s="61">
        <f t="shared" si="17"/>
        <v>1</v>
      </c>
      <c r="AN16" s="51">
        <f>VLOOKUP(C16,'Giao CT'!$D$6:$S$20,12,0)</f>
        <v>5</v>
      </c>
      <c r="AO16" s="13">
        <f>VLOOKUP(C16,GBOC!$E$7:$DG$29,$B$29,0)</f>
        <v>3</v>
      </c>
      <c r="AP16" s="14">
        <f t="shared" si="18"/>
        <v>1.4</v>
      </c>
      <c r="AQ16" s="61">
        <f t="shared" si="19"/>
        <v>1.4</v>
      </c>
      <c r="AR16" s="33">
        <v>0.97</v>
      </c>
      <c r="AS16" s="112">
        <f>(VLOOKUP(B16,cuoc!$B$7:$P$27,14,0))*1%</f>
        <v>0.95849999999999991</v>
      </c>
      <c r="AT16" s="14">
        <f t="shared" si="20"/>
        <v>0.8</v>
      </c>
      <c r="AU16" s="48">
        <f t="shared" si="21"/>
        <v>1.1500000000000066E-2</v>
      </c>
      <c r="AV16" s="51">
        <f>VLOOKUP(C16,'Giao CT'!$D$6:$S$20,14,0)</f>
        <v>3</v>
      </c>
      <c r="AW16" s="13">
        <f>VLOOKUP(C16,GBOC!$E$7:$DG$29,$B$31,0)</f>
        <v>0</v>
      </c>
      <c r="AX16" s="14">
        <f t="shared" si="22"/>
        <v>0</v>
      </c>
      <c r="AY16" s="48">
        <f t="shared" si="23"/>
        <v>3</v>
      </c>
      <c r="AZ16" s="51">
        <f>VLOOKUP(C16,'Giao CT'!$D$6:$S$20,15,0)</f>
        <v>1</v>
      </c>
      <c r="BA16" s="13">
        <f>VLOOKUP(C16,GBOC!$E$7:$DG$29,$B$32,0)</f>
        <v>2</v>
      </c>
      <c r="BB16" s="104">
        <f t="shared" si="24"/>
        <v>2</v>
      </c>
      <c r="BC16" s="48">
        <f t="shared" si="25"/>
        <v>-1</v>
      </c>
      <c r="BD16" s="51">
        <f>VLOOKUP(C16,'Giao CT'!$D$6:$S$20,16,0)</f>
        <v>0</v>
      </c>
      <c r="BE16" s="13">
        <f>VLOOKUP(C16,GBOC!$E$7:$DG$29,$B$33,0)</f>
        <v>2</v>
      </c>
      <c r="BF16" s="14">
        <f t="shared" si="26"/>
        <v>1</v>
      </c>
      <c r="BG16" s="48">
        <f t="shared" si="27"/>
        <v>-2</v>
      </c>
    </row>
    <row r="17" spans="1:59" ht="16.25" customHeight="1" x14ac:dyDescent="0.45">
      <c r="A17" s="92" t="s">
        <v>19</v>
      </c>
      <c r="B17" s="94" t="s">
        <v>118</v>
      </c>
      <c r="C17" s="105" t="s">
        <v>119</v>
      </c>
      <c r="D17" s="12">
        <f>VLOOKUP(C17,'Giao CT'!$D$6:$S$20,3,0)</f>
        <v>7</v>
      </c>
      <c r="E17" s="58">
        <f>VLOOKUP(C17,GBOC!$E$7:$DG$29,$B$20,0)</f>
        <v>12</v>
      </c>
      <c r="F17" s="14">
        <f t="shared" si="0"/>
        <v>1.7142857142857142</v>
      </c>
      <c r="G17" s="46">
        <f t="shared" si="1"/>
        <v>-5</v>
      </c>
      <c r="H17" s="12">
        <f>VLOOKUP(C17,'Giao CT'!$D$6:$S$20,4,0)</f>
        <v>4</v>
      </c>
      <c r="I17" s="13">
        <f>VLOOKUP(C17,GBOC!$E$7:$DG$29,$B$21,0)</f>
        <v>6</v>
      </c>
      <c r="J17" s="14">
        <f t="shared" si="2"/>
        <v>1.5</v>
      </c>
      <c r="K17" s="46">
        <f t="shared" si="3"/>
        <v>-2</v>
      </c>
      <c r="L17" s="12">
        <f>VLOOKUP(C17,'Giao CT'!$D$6:$S$20,5,0)</f>
        <v>5</v>
      </c>
      <c r="M17" s="58">
        <f>VLOOKUP(C17,GBOC!$E$7:$DG$29,$B$22,0)</f>
        <v>4</v>
      </c>
      <c r="N17" s="14">
        <f t="shared" si="4"/>
        <v>0.8</v>
      </c>
      <c r="O17" s="46">
        <f t="shared" si="5"/>
        <v>1</v>
      </c>
      <c r="P17" s="52">
        <f>VLOOKUP(C17,'Giao CT'!$D$6:$S$20,6,0)</f>
        <v>4</v>
      </c>
      <c r="Q17" s="58">
        <f>VLOOKUP(C17,GBOC!$E$7:$DG$29,$B$23,0)</f>
        <v>6</v>
      </c>
      <c r="R17" s="14">
        <f t="shared" si="6"/>
        <v>1.5</v>
      </c>
      <c r="S17" s="46">
        <f t="shared" si="7"/>
        <v>-2</v>
      </c>
      <c r="T17" s="52">
        <f>VLOOKUP(C17,'Giao CT'!$D$6:$S$20,7,0)</f>
        <v>4</v>
      </c>
      <c r="U17" s="13">
        <f>VLOOKUP(C17,GBOC!$E$7:$DG$29,$B$24,0)</f>
        <v>9</v>
      </c>
      <c r="V17" s="14">
        <f t="shared" si="8"/>
        <v>2.25</v>
      </c>
      <c r="W17" s="44">
        <f t="shared" si="9"/>
        <v>-5</v>
      </c>
      <c r="X17" s="12">
        <f>VLOOKUP(C17,'Giao CT'!$D$6:$S$20,8,0)</f>
        <v>1</v>
      </c>
      <c r="Y17" s="13">
        <f>VLOOKUP(C17,GBOC!$E$7:$DG$29,$B$25,0)</f>
        <v>26</v>
      </c>
      <c r="Z17" s="14">
        <f t="shared" si="10"/>
        <v>26</v>
      </c>
      <c r="AA17" s="46">
        <f t="shared" si="11"/>
        <v>-25</v>
      </c>
      <c r="AB17" s="51">
        <f>VLOOKUP(C17,'Giao CT'!$D$6:$S$20,9,0)</f>
        <v>60</v>
      </c>
      <c r="AC17" s="13">
        <f>VLOOKUP(C17,GBOC!$E$7:$DG$29,$B$26,0)</f>
        <v>187</v>
      </c>
      <c r="AD17" s="14">
        <f t="shared" si="12"/>
        <v>3.1166666666666667</v>
      </c>
      <c r="AE17" s="46">
        <f t="shared" si="13"/>
        <v>-127</v>
      </c>
      <c r="AF17" s="51">
        <f>VLOOKUP(C17,'Giao CT'!$D$6:$S$20,10,0)</f>
        <v>8</v>
      </c>
      <c r="AG17" s="13">
        <f>VLOOKUP(C17,GBOC!$E$7:$DG$29,$B$27,0)</f>
        <v>22</v>
      </c>
      <c r="AH17" s="14">
        <f t="shared" si="14"/>
        <v>2.75</v>
      </c>
      <c r="AI17" s="46">
        <f t="shared" si="15"/>
        <v>-14</v>
      </c>
      <c r="AJ17" s="51">
        <f>VLOOKUP(C17,'Giao CT'!$D$6:$S$20,11,0)</f>
        <v>4</v>
      </c>
      <c r="AK17" s="13">
        <v>3</v>
      </c>
      <c r="AL17" s="14">
        <f t="shared" si="16"/>
        <v>1.25</v>
      </c>
      <c r="AM17" s="61">
        <f t="shared" si="17"/>
        <v>1.25</v>
      </c>
      <c r="AN17" s="51">
        <f>VLOOKUP(C17,'Giao CT'!$D$6:$S$20,12,0)</f>
        <v>5</v>
      </c>
      <c r="AO17" s="13">
        <f>VLOOKUP(C17,GBOC!$E$7:$DG$29,$B$29,0)</f>
        <v>3</v>
      </c>
      <c r="AP17" s="14">
        <f t="shared" si="18"/>
        <v>1.4</v>
      </c>
      <c r="AQ17" s="61">
        <f t="shared" si="19"/>
        <v>1.4</v>
      </c>
      <c r="AR17" s="33">
        <v>0.97</v>
      </c>
      <c r="AS17" s="112">
        <f>(VLOOKUP(B17,cuoc!$B$7:$P$27,14,0))*1%</f>
        <v>0.96379999999999999</v>
      </c>
      <c r="AT17" s="14">
        <f t="shared" si="20"/>
        <v>0.8</v>
      </c>
      <c r="AU17" s="48">
        <f t="shared" si="21"/>
        <v>6.1999999999999833E-3</v>
      </c>
      <c r="AV17" s="51">
        <f>VLOOKUP(C17,'Giao CT'!$D$6:$S$20,14,0)</f>
        <v>3</v>
      </c>
      <c r="AW17" s="13">
        <f>VLOOKUP(C17,GBOC!$E$7:$DG$29,$B$31,0)</f>
        <v>0</v>
      </c>
      <c r="AX17" s="14">
        <f t="shared" si="22"/>
        <v>0</v>
      </c>
      <c r="AY17" s="48">
        <f t="shared" si="23"/>
        <v>3</v>
      </c>
      <c r="AZ17" s="51">
        <f>VLOOKUP(C17,'Giao CT'!$D$6:$S$20,15,0)</f>
        <v>1</v>
      </c>
      <c r="BA17" s="13">
        <f>VLOOKUP(C17,GBOC!$E$7:$DG$29,$B$32,0)</f>
        <v>1</v>
      </c>
      <c r="BB17" s="104">
        <f t="shared" si="24"/>
        <v>1</v>
      </c>
      <c r="BC17" s="48">
        <f t="shared" si="25"/>
        <v>0</v>
      </c>
      <c r="BD17" s="51">
        <f>VLOOKUP(C17,'Giao CT'!$D$6:$S$20,16,0)</f>
        <v>0</v>
      </c>
      <c r="BE17" s="13">
        <f>VLOOKUP(C17,GBOC!$E$7:$DG$29,$B$33,0)</f>
        <v>2</v>
      </c>
      <c r="BF17" s="14">
        <f t="shared" si="26"/>
        <v>1</v>
      </c>
      <c r="BG17" s="48">
        <f t="shared" si="27"/>
        <v>-2</v>
      </c>
    </row>
    <row r="18" spans="1:59" ht="17.850000000000001" customHeight="1" x14ac:dyDescent="0.45">
      <c r="A18" s="92" t="s">
        <v>33</v>
      </c>
      <c r="B18" s="94" t="s">
        <v>120</v>
      </c>
      <c r="C18" s="105" t="s">
        <v>121</v>
      </c>
      <c r="D18" s="12">
        <f>VLOOKUP(C18,'Giao CT'!$D$6:$S$20,3,0)</f>
        <v>3</v>
      </c>
      <c r="E18" s="58">
        <f>VLOOKUP(C18,GBOC!$E$7:$DG$29,$B$20,0)</f>
        <v>4</v>
      </c>
      <c r="F18" s="14">
        <f t="shared" si="0"/>
        <v>1.3333333333333333</v>
      </c>
      <c r="G18" s="46">
        <f t="shared" si="1"/>
        <v>-1</v>
      </c>
      <c r="H18" s="12">
        <f>VLOOKUP(C18,'Giao CT'!$D$6:$S$20,4,0)</f>
        <v>2</v>
      </c>
      <c r="I18" s="13">
        <f>VLOOKUP(C18,GBOC!$E$7:$DG$29,$B$21,0)</f>
        <v>0</v>
      </c>
      <c r="J18" s="14">
        <f t="shared" si="2"/>
        <v>0</v>
      </c>
      <c r="K18" s="46">
        <f t="shared" si="3"/>
        <v>2</v>
      </c>
      <c r="L18" s="12">
        <f>VLOOKUP(C18,'Giao CT'!$D$6:$S$20,5,0)</f>
        <v>2</v>
      </c>
      <c r="M18" s="58">
        <f>VLOOKUP(C18,GBOC!$E$7:$DG$29,$B$22,0)</f>
        <v>3</v>
      </c>
      <c r="N18" s="14">
        <f t="shared" si="4"/>
        <v>1.5</v>
      </c>
      <c r="O18" s="46">
        <f t="shared" si="5"/>
        <v>-1</v>
      </c>
      <c r="P18" s="52">
        <f>VLOOKUP(C18,'Giao CT'!$D$6:$S$20,6,0)</f>
        <v>3</v>
      </c>
      <c r="Q18" s="58">
        <f>VLOOKUP(C18,GBOC!$E$7:$DG$29,$B$23,0)</f>
        <v>1</v>
      </c>
      <c r="R18" s="14">
        <f t="shared" si="6"/>
        <v>0.33333333333333331</v>
      </c>
      <c r="S18" s="46">
        <f t="shared" si="7"/>
        <v>2</v>
      </c>
      <c r="T18" s="52">
        <f>VLOOKUP(C18,'Giao CT'!$D$6:$S$20,7,0)</f>
        <v>3</v>
      </c>
      <c r="U18" s="13">
        <f>VLOOKUP(C18,GBOC!$E$7:$DG$29,$B$24,0)</f>
        <v>3</v>
      </c>
      <c r="V18" s="14">
        <f t="shared" si="8"/>
        <v>1</v>
      </c>
      <c r="W18" s="44">
        <f t="shared" si="9"/>
        <v>0</v>
      </c>
      <c r="X18" s="12">
        <f>VLOOKUP(C18,'Giao CT'!$D$6:$S$20,8,0)</f>
        <v>1</v>
      </c>
      <c r="Y18" s="13">
        <f>VLOOKUP(C18,GBOC!$E$7:$DG$29,$B$25,0)</f>
        <v>1</v>
      </c>
      <c r="Z18" s="14">
        <f t="shared" si="10"/>
        <v>1</v>
      </c>
      <c r="AA18" s="46">
        <f t="shared" si="11"/>
        <v>0</v>
      </c>
      <c r="AB18" s="51">
        <f>VLOOKUP(C18,'Giao CT'!$D$6:$S$20,9,0)</f>
        <v>14</v>
      </c>
      <c r="AC18" s="13">
        <f>VLOOKUP(C18,GBOC!$E$7:$DG$29,$B$26,0)</f>
        <v>21</v>
      </c>
      <c r="AD18" s="14">
        <f t="shared" si="12"/>
        <v>1.5</v>
      </c>
      <c r="AE18" s="46">
        <f t="shared" si="13"/>
        <v>-7</v>
      </c>
      <c r="AF18" s="51">
        <f>VLOOKUP(C18,'Giao CT'!$D$6:$S$20,10,0)</f>
        <v>5</v>
      </c>
      <c r="AG18" s="13">
        <f>VLOOKUP(C18,GBOC!$E$7:$DG$29,$B$27,0)</f>
        <v>3</v>
      </c>
      <c r="AH18" s="14">
        <f t="shared" si="14"/>
        <v>0.6</v>
      </c>
      <c r="AI18" s="46">
        <f t="shared" si="15"/>
        <v>2</v>
      </c>
      <c r="AJ18" s="51">
        <f>VLOOKUP(C18,'Giao CT'!$D$6:$S$20,11,0)</f>
        <v>3</v>
      </c>
      <c r="AK18" s="13">
        <v>4</v>
      </c>
      <c r="AL18" s="14">
        <f t="shared" si="16"/>
        <v>0.66666666666666674</v>
      </c>
      <c r="AM18" s="61">
        <f t="shared" si="17"/>
        <v>0.66666666666666674</v>
      </c>
      <c r="AN18" s="51">
        <f>VLOOKUP(C18,'Giao CT'!$D$6:$S$20,12,0)</f>
        <v>3</v>
      </c>
      <c r="AO18" s="13">
        <f>VLOOKUP(C18,GBOC!$E$7:$DG$29,$B$29,0)</f>
        <v>0</v>
      </c>
      <c r="AP18" s="14">
        <f t="shared" si="18"/>
        <v>2</v>
      </c>
      <c r="AQ18" s="61">
        <f t="shared" si="19"/>
        <v>2</v>
      </c>
      <c r="AR18" s="33">
        <v>0.97</v>
      </c>
      <c r="AS18" s="112">
        <f>(VLOOKUP(B18,cuoc!$B$7:$P$27,14,0))*1%</f>
        <v>0.95260000000000011</v>
      </c>
      <c r="AT18" s="14">
        <f t="shared" si="20"/>
        <v>0.5</v>
      </c>
      <c r="AU18" s="48">
        <f t="shared" si="21"/>
        <v>1.739999999999986E-2</v>
      </c>
      <c r="AV18" s="51">
        <f>VLOOKUP(C18,'Giao CT'!$D$6:$S$20,14,0)</f>
        <v>1</v>
      </c>
      <c r="AW18" s="13">
        <f>VLOOKUP(C18,GBOC!$E$7:$DG$29,$B$31,0)</f>
        <v>0</v>
      </c>
      <c r="AX18" s="14">
        <f t="shared" si="22"/>
        <v>0</v>
      </c>
      <c r="AY18" s="48">
        <f t="shared" si="23"/>
        <v>1</v>
      </c>
      <c r="AZ18" s="51">
        <f>VLOOKUP(C18,'Giao CT'!$D$6:$S$20,15,0)</f>
        <v>1</v>
      </c>
      <c r="BA18" s="13">
        <f>VLOOKUP(C18,GBOC!$E$7:$DG$29,$B$32,0)</f>
        <v>1</v>
      </c>
      <c r="BB18" s="104">
        <f t="shared" si="24"/>
        <v>1</v>
      </c>
      <c r="BC18" s="48">
        <f t="shared" si="25"/>
        <v>0</v>
      </c>
      <c r="BD18" s="51">
        <f>VLOOKUP(C18,'Giao CT'!$D$6:$S$20,16,0)</f>
        <v>0</v>
      </c>
      <c r="BE18" s="13">
        <f>VLOOKUP(C18,GBOC!$E$7:$DG$29,$B$33,0)</f>
        <v>0</v>
      </c>
      <c r="BF18" s="14">
        <f t="shared" si="26"/>
        <v>1</v>
      </c>
      <c r="BG18" s="48">
        <f t="shared" si="27"/>
        <v>0</v>
      </c>
    </row>
    <row r="19" spans="1:59" ht="51.5" customHeight="1" x14ac:dyDescent="0.45">
      <c r="A19" s="15"/>
      <c r="B19" s="69"/>
      <c r="C19" s="15"/>
      <c r="D19" s="15"/>
      <c r="E19" s="16"/>
      <c r="F19" s="179">
        <f ca="1">TODAY()</f>
        <v>46081</v>
      </c>
      <c r="G19" s="179"/>
      <c r="H19" s="73"/>
      <c r="I19" s="74">
        <f ca="1">DAY(F19)</f>
        <v>28</v>
      </c>
      <c r="J19" s="75">
        <v>31</v>
      </c>
      <c r="K19" s="78">
        <f ca="1">I19/J19</f>
        <v>0.90322580645161288</v>
      </c>
      <c r="L19" s="185" t="s">
        <v>124</v>
      </c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6"/>
      <c r="AL19" s="32"/>
      <c r="AM19" s="16"/>
      <c r="AN19" s="15"/>
      <c r="AO19" s="16"/>
      <c r="AP19" s="32"/>
      <c r="AQ19" s="62"/>
      <c r="AR19" s="15"/>
      <c r="AS19" s="16"/>
      <c r="AT19" s="32"/>
      <c r="AU19" s="16"/>
      <c r="AV19" s="15"/>
      <c r="AW19" s="16"/>
      <c r="AX19" s="32"/>
      <c r="AY19" s="16"/>
      <c r="AZ19" s="15"/>
      <c r="BA19" s="16"/>
      <c r="BB19" s="32"/>
      <c r="BC19" s="16"/>
      <c r="BD19" s="15"/>
      <c r="BE19" s="16"/>
      <c r="BF19" s="32"/>
      <c r="BG19" s="16" t="e">
        <f>#REF!*80%-#REF!</f>
        <v>#REF!</v>
      </c>
    </row>
    <row r="20" spans="1:59" x14ac:dyDescent="0.45">
      <c r="A20" s="101" t="s">
        <v>3</v>
      </c>
      <c r="B20" s="98" t="s">
        <v>233</v>
      </c>
      <c r="C20" s="98">
        <f t="shared" ref="C20:C29" si="28">B20-2</f>
        <v>5</v>
      </c>
    </row>
    <row r="21" spans="1:59" x14ac:dyDescent="0.45">
      <c r="A21" s="101" t="s">
        <v>40</v>
      </c>
      <c r="B21" s="99">
        <v>15</v>
      </c>
      <c r="C21" s="98">
        <f t="shared" si="28"/>
        <v>13</v>
      </c>
    </row>
    <row r="22" spans="1:59" ht="27.75" x14ac:dyDescent="0.45">
      <c r="A22" s="101" t="s">
        <v>41</v>
      </c>
      <c r="B22" s="99">
        <v>55</v>
      </c>
      <c r="C22" s="98">
        <f t="shared" si="28"/>
        <v>53</v>
      </c>
    </row>
    <row r="23" spans="1:59" x14ac:dyDescent="0.45">
      <c r="A23" s="23" t="s">
        <v>42</v>
      </c>
      <c r="B23" s="99">
        <v>87</v>
      </c>
      <c r="C23" s="98">
        <f t="shared" si="28"/>
        <v>85</v>
      </c>
    </row>
    <row r="24" spans="1:59" x14ac:dyDescent="0.45">
      <c r="A24" s="102" t="s">
        <v>43</v>
      </c>
      <c r="B24" s="100">
        <v>95</v>
      </c>
      <c r="C24" s="98">
        <f t="shared" si="28"/>
        <v>93</v>
      </c>
    </row>
    <row r="25" spans="1:59" x14ac:dyDescent="0.45">
      <c r="A25" s="102" t="s">
        <v>45</v>
      </c>
      <c r="B25" s="97">
        <v>103</v>
      </c>
      <c r="C25" s="98">
        <f t="shared" si="28"/>
        <v>101</v>
      </c>
    </row>
    <row r="26" spans="1:59" x14ac:dyDescent="0.45">
      <c r="A26" s="102" t="s">
        <v>47</v>
      </c>
      <c r="B26" s="97">
        <v>47</v>
      </c>
      <c r="C26" s="98">
        <f t="shared" si="28"/>
        <v>45</v>
      </c>
    </row>
    <row r="27" spans="1:59" x14ac:dyDescent="0.45">
      <c r="A27" s="102" t="s">
        <v>48</v>
      </c>
      <c r="B27" s="97">
        <v>79</v>
      </c>
      <c r="C27" s="98">
        <f t="shared" si="28"/>
        <v>77</v>
      </c>
    </row>
    <row r="28" spans="1:59" x14ac:dyDescent="0.45">
      <c r="A28" s="97" t="s">
        <v>51</v>
      </c>
      <c r="B28" s="97">
        <v>39</v>
      </c>
      <c r="C28" s="98">
        <f t="shared" si="28"/>
        <v>37</v>
      </c>
    </row>
    <row r="29" spans="1:59" x14ac:dyDescent="0.45">
      <c r="A29" s="97" t="s">
        <v>14</v>
      </c>
      <c r="B29" s="97">
        <v>31</v>
      </c>
      <c r="C29" s="98">
        <f t="shared" si="28"/>
        <v>29</v>
      </c>
    </row>
    <row r="30" spans="1:59" x14ac:dyDescent="0.45">
      <c r="A30" s="97" t="s">
        <v>52</v>
      </c>
      <c r="B30" s="97"/>
      <c r="C30" s="98"/>
    </row>
    <row r="31" spans="1:59" x14ac:dyDescent="0.45">
      <c r="A31" s="97" t="s">
        <v>16</v>
      </c>
      <c r="B31" s="97">
        <v>23</v>
      </c>
      <c r="C31" s="98">
        <f>B31-2</f>
        <v>21</v>
      </c>
    </row>
    <row r="32" spans="1:59" x14ac:dyDescent="0.45">
      <c r="A32" s="97" t="s">
        <v>54</v>
      </c>
      <c r="B32" s="97">
        <v>71</v>
      </c>
      <c r="C32" s="98">
        <f>B32-2</f>
        <v>69</v>
      </c>
    </row>
    <row r="33" spans="1:3" x14ac:dyDescent="0.45">
      <c r="A33" s="97" t="s">
        <v>55</v>
      </c>
      <c r="B33" s="97">
        <v>63</v>
      </c>
      <c r="C33" s="98">
        <f>B33-2</f>
        <v>61</v>
      </c>
    </row>
  </sheetData>
  <mergeCells count="22">
    <mergeCell ref="A2:A4"/>
    <mergeCell ref="X3:AA3"/>
    <mergeCell ref="AV2:BG2"/>
    <mergeCell ref="AJ2:AU2"/>
    <mergeCell ref="T2:AI2"/>
    <mergeCell ref="AZ3:BC3"/>
    <mergeCell ref="BD3:BG3"/>
    <mergeCell ref="AB3:AE3"/>
    <mergeCell ref="AV3:AY3"/>
    <mergeCell ref="AR3:AU3"/>
    <mergeCell ref="AJ3:AM3"/>
    <mergeCell ref="D2:S2"/>
    <mergeCell ref="B3:B4"/>
    <mergeCell ref="D3:G3"/>
    <mergeCell ref="H3:K3"/>
    <mergeCell ref="L3:O3"/>
    <mergeCell ref="F19:G19"/>
    <mergeCell ref="AN3:AQ3"/>
    <mergeCell ref="AF3:AI3"/>
    <mergeCell ref="L19:AJ19"/>
    <mergeCell ref="P3:S3"/>
    <mergeCell ref="T3:W3"/>
  </mergeCells>
  <phoneticPr fontId="0" type="noConversion"/>
  <conditionalFormatting sqref="C3:C4">
    <cfRule type="colorScale" priority="5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5:F18 J5:J18 N5:N18 R5:R18 V5:V18 AD5:AD18 AH5:AH18 AP5:AP18 BB5:BB18">
    <cfRule type="cellIs" dxfId="44" priority="828" operator="lessThan">
      <formula>$K$19</formula>
    </cfRule>
  </conditionalFormatting>
  <conditionalFormatting sqref="G5:G18 K5:K18 O5:O18 W5:W18 AM5:AM18 AQ5:AQ18 AU5:AU18 AY5:AY18 BG5:BG18">
    <cfRule type="cellIs" dxfId="43" priority="34" stopIfTrue="1" operator="greaterThan">
      <formula>0</formula>
    </cfRule>
    <cfRule type="cellIs" dxfId="42" priority="35" stopIfTrue="1" operator="lessThan">
      <formula>0</formula>
    </cfRule>
  </conditionalFormatting>
  <conditionalFormatting sqref="S5:S18">
    <cfRule type="colorScale" priority="862">
      <colorScale>
        <cfvo type="min"/>
        <cfvo type="max"/>
        <color rgb="FF63BE7B"/>
        <color rgb="FFFFEF9C"/>
      </colorScale>
    </cfRule>
    <cfRule type="colorScale" priority="863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41" priority="864" stopIfTrue="1" operator="lessThan">
      <formula>0</formula>
    </cfRule>
    <cfRule type="cellIs" dxfId="40" priority="865" stopIfTrue="1" operator="greaterThan">
      <formula>0</formula>
    </cfRule>
  </conditionalFormatting>
  <conditionalFormatting sqref="Z5:Z18 BF5:BF18">
    <cfRule type="cellIs" dxfId="39" priority="46" operator="equal">
      <formula>0</formula>
    </cfRule>
  </conditionalFormatting>
  <conditionalFormatting sqref="AA5:AA18 AE5:AE18 AI5:AI18 BC5:BC18">
    <cfRule type="cellIs" dxfId="38" priority="32" stopIfTrue="1" operator="lessThan">
      <formula>0</formula>
    </cfRule>
    <cfRule type="cellIs" dxfId="37" priority="61" stopIfTrue="1" operator="greaterThan">
      <formula>0</formula>
    </cfRule>
  </conditionalFormatting>
  <conditionalFormatting sqref="AX5:AX18">
    <cfRule type="cellIs" dxfId="36" priority="44" operator="lessThan">
      <formula>1</formula>
    </cfRule>
  </conditionalFormatting>
  <pageMargins left="0.69991251615088756" right="0.69991251615088756" top="0.74990626395218019" bottom="0.74990626395218019" header="0.29996251027415122" footer="0.29996251027415122"/>
  <pageSetup scale="6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1"/>
  <sheetViews>
    <sheetView zoomScale="70" zoomScaleNormal="70" workbookViewId="0">
      <selection activeCell="D30" sqref="D30"/>
    </sheetView>
  </sheetViews>
  <sheetFormatPr defaultColWidth="9" defaultRowHeight="14.25" x14ac:dyDescent="0.45"/>
  <cols>
    <col min="2" max="2" width="49.796875" customWidth="1"/>
    <col min="3" max="3" width="8" customWidth="1"/>
    <col min="4" max="4" width="8.46484375" customWidth="1"/>
    <col min="5" max="5" width="0" hidden="1" customWidth="1"/>
    <col min="6" max="6" width="13" customWidth="1"/>
    <col min="7" max="7" width="7.86328125" customWidth="1"/>
    <col min="8" max="8" width="9.1328125" style="38" customWidth="1"/>
    <col min="9" max="9" width="10.46484375" style="38" customWidth="1"/>
    <col min="10" max="10" width="11.1328125" customWidth="1"/>
    <col min="11" max="11" width="17.19921875" customWidth="1"/>
    <col min="12" max="12" width="53.33203125" customWidth="1"/>
  </cols>
  <sheetData>
    <row r="1" spans="1:14" ht="29" customHeight="1" x14ac:dyDescent="0.45">
      <c r="A1" s="202" t="s">
        <v>0</v>
      </c>
      <c r="B1" s="209" t="s">
        <v>132</v>
      </c>
      <c r="C1" s="210"/>
      <c r="D1" s="210"/>
      <c r="E1" s="210"/>
      <c r="F1" s="210"/>
      <c r="G1" s="210"/>
      <c r="H1" s="210"/>
      <c r="I1" s="210"/>
      <c r="J1" s="210"/>
    </row>
    <row r="2" spans="1:14" ht="43.5" customHeight="1" x14ac:dyDescent="0.45">
      <c r="A2" s="202"/>
      <c r="B2" s="40" t="s">
        <v>32</v>
      </c>
      <c r="C2" s="203" t="s">
        <v>2</v>
      </c>
      <c r="D2" s="205" t="s">
        <v>58</v>
      </c>
      <c r="E2" s="198" t="s">
        <v>133</v>
      </c>
      <c r="F2" s="198" t="s">
        <v>133</v>
      </c>
      <c r="G2" s="56" t="s">
        <v>134</v>
      </c>
      <c r="H2" s="56" t="s">
        <v>135</v>
      </c>
      <c r="I2" s="211" t="s">
        <v>136</v>
      </c>
      <c r="J2" s="207" t="s">
        <v>137</v>
      </c>
      <c r="K2" s="201" t="s">
        <v>138</v>
      </c>
    </row>
    <row r="3" spans="1:14" ht="35.25" customHeight="1" x14ac:dyDescent="0.45">
      <c r="A3" s="35" t="s">
        <v>139</v>
      </c>
      <c r="B3" s="37" t="s">
        <v>140</v>
      </c>
      <c r="C3" s="204"/>
      <c r="D3" s="206"/>
      <c r="E3" s="199"/>
      <c r="F3" s="199"/>
      <c r="G3" s="57">
        <f>SUM(G4:G14)</f>
        <v>101</v>
      </c>
      <c r="H3" s="77">
        <f>SUM(H4:H14)</f>
        <v>125.7</v>
      </c>
      <c r="I3" s="212"/>
      <c r="J3" s="208"/>
      <c r="K3" s="201"/>
      <c r="L3" s="197" t="s">
        <v>141</v>
      </c>
      <c r="M3" s="197"/>
      <c r="N3" s="197"/>
    </row>
    <row r="4" spans="1:14" ht="17.850000000000001" customHeight="1" x14ac:dyDescent="0.55000000000000004">
      <c r="A4" s="55">
        <v>1</v>
      </c>
      <c r="B4" s="36" t="s">
        <v>142</v>
      </c>
      <c r="C4" s="76">
        <f>VLOOKUP($B$2,'TH NV'!$A$5:$BG$18,'điểm NV'!M8,0)</f>
        <v>3</v>
      </c>
      <c r="D4" s="68">
        <f>VLOOKUP($B$2,'TH NV'!$A$5:$BG$18,N8,0)</f>
        <v>2</v>
      </c>
      <c r="E4" s="42">
        <f t="shared" ref="E4:E7" si="0">D4/C4</f>
        <v>0.66666666666666663</v>
      </c>
      <c r="F4" s="42">
        <f t="shared" ref="F4:F13" si="1">MAX(E4,0)</f>
        <v>0.66666666666666663</v>
      </c>
      <c r="G4" s="110">
        <v>10</v>
      </c>
      <c r="H4" s="111">
        <f>G4*1.2</f>
        <v>12</v>
      </c>
      <c r="I4" s="109">
        <f>IF(F4&gt;=1.3,G4*1.3,F4*G4)</f>
        <v>6.6666666666666661</v>
      </c>
      <c r="J4" s="59">
        <f t="shared" ref="J4:J14" si="2">C4-D4</f>
        <v>1</v>
      </c>
      <c r="K4" s="201"/>
      <c r="L4" s="101" t="s">
        <v>3</v>
      </c>
      <c r="M4" s="150">
        <v>4</v>
      </c>
      <c r="N4" s="150">
        <f>M4+1</f>
        <v>5</v>
      </c>
    </row>
    <row r="5" spans="1:14" ht="17.850000000000001" customHeight="1" x14ac:dyDescent="0.55000000000000004">
      <c r="A5" s="55">
        <v>2</v>
      </c>
      <c r="B5" s="152" t="s">
        <v>143</v>
      </c>
      <c r="C5" s="76">
        <f>VLOOKUP($B$2,'TH NV'!$A$5:$BG$18,'điểm NV'!M10,0)</f>
        <v>30</v>
      </c>
      <c r="D5" s="68">
        <f>VLOOKUP($B$2,'TH NV'!$A$5:$BG$18,N10,0)</f>
        <v>13</v>
      </c>
      <c r="E5" s="42">
        <f t="shared" si="0"/>
        <v>0.43333333333333335</v>
      </c>
      <c r="F5" s="42">
        <f t="shared" si="1"/>
        <v>0.43333333333333335</v>
      </c>
      <c r="G5" s="110">
        <v>10</v>
      </c>
      <c r="H5" s="111">
        <f>G5*1.3</f>
        <v>13</v>
      </c>
      <c r="I5" s="109">
        <f>IF(F5&gt;=1.2,G5*1.2,F5*G5)</f>
        <v>4.3333333333333339</v>
      </c>
      <c r="J5" s="59">
        <f t="shared" si="2"/>
        <v>17</v>
      </c>
      <c r="K5" s="201"/>
      <c r="L5" s="101" t="s">
        <v>40</v>
      </c>
      <c r="M5" s="99">
        <v>8</v>
      </c>
      <c r="N5" s="150">
        <f t="shared" ref="N5:N17" si="3">M5+1</f>
        <v>9</v>
      </c>
    </row>
    <row r="6" spans="1:14" ht="17.850000000000001" customHeight="1" x14ac:dyDescent="0.55000000000000004">
      <c r="A6" s="55">
        <v>3</v>
      </c>
      <c r="B6" s="152" t="s">
        <v>144</v>
      </c>
      <c r="C6" s="76">
        <f>VLOOKUP($B$2,'TH NV'!$A$5:$BG$18,'điểm NV'!M4,0)</f>
        <v>8</v>
      </c>
      <c r="D6" s="68">
        <f>VLOOKUP($B$2,'TH NV'!$A$5:$BG$18,N4,0)</f>
        <v>8</v>
      </c>
      <c r="E6" s="42">
        <f t="shared" si="0"/>
        <v>1</v>
      </c>
      <c r="F6" s="42">
        <f t="shared" si="1"/>
        <v>1</v>
      </c>
      <c r="G6" s="110">
        <v>15</v>
      </c>
      <c r="H6" s="111">
        <f>G6*1.3</f>
        <v>19.5</v>
      </c>
      <c r="I6" s="109">
        <f>IF(F6&gt;=1.3,G6*1.3,F6*G6)</f>
        <v>15</v>
      </c>
      <c r="J6" s="59">
        <f t="shared" si="2"/>
        <v>0</v>
      </c>
      <c r="K6" s="201"/>
      <c r="L6" s="101" t="s">
        <v>41</v>
      </c>
      <c r="M6" s="99">
        <v>12</v>
      </c>
      <c r="N6" s="150">
        <f t="shared" si="3"/>
        <v>13</v>
      </c>
    </row>
    <row r="7" spans="1:14" ht="17.850000000000001" customHeight="1" x14ac:dyDescent="0.55000000000000004">
      <c r="A7" s="55">
        <v>4</v>
      </c>
      <c r="B7" s="36" t="s">
        <v>145</v>
      </c>
      <c r="C7" s="76">
        <f>VLOOKUP($B$2,'TH NV'!$A$5:$BG$18,'điểm NV'!M5,0)</f>
        <v>4</v>
      </c>
      <c r="D7" s="68">
        <f>VLOOKUP($B$2,'TH NV'!$A$5:$BG$18,N5,0)</f>
        <v>2</v>
      </c>
      <c r="E7" s="42">
        <f t="shared" si="0"/>
        <v>0.5</v>
      </c>
      <c r="F7" s="42">
        <f t="shared" si="1"/>
        <v>0.5</v>
      </c>
      <c r="G7" s="110">
        <v>10</v>
      </c>
      <c r="H7" s="111">
        <f>G7*1.2</f>
        <v>12</v>
      </c>
      <c r="I7" s="109">
        <f>IF(F7&gt;=1.2,G7*1.2,F7*G7)</f>
        <v>5</v>
      </c>
      <c r="J7" s="59">
        <f t="shared" si="2"/>
        <v>2</v>
      </c>
      <c r="K7" s="201"/>
      <c r="L7" s="23" t="s">
        <v>42</v>
      </c>
      <c r="M7" s="99">
        <v>16</v>
      </c>
      <c r="N7" s="150">
        <f t="shared" si="3"/>
        <v>17</v>
      </c>
    </row>
    <row r="8" spans="1:14" ht="27.4" customHeight="1" x14ac:dyDescent="0.55000000000000004">
      <c r="A8" s="55">
        <v>5</v>
      </c>
      <c r="B8" s="152" t="s">
        <v>146</v>
      </c>
      <c r="C8" s="76">
        <f>VLOOKUP($B$2,'TH NV'!$A$5:$BG$18,'điểm NV'!M7,0)</f>
        <v>5</v>
      </c>
      <c r="D8" s="68">
        <f>VLOOKUP($B$2,'TH NV'!$A$5:$BG$18,N7,0)</f>
        <v>3</v>
      </c>
      <c r="E8" s="42">
        <f>(D8/C8)</f>
        <v>0.6</v>
      </c>
      <c r="F8" s="42">
        <f t="shared" si="1"/>
        <v>0.6</v>
      </c>
      <c r="G8" s="110">
        <v>10</v>
      </c>
      <c r="H8" s="111">
        <f>G8*1.3</f>
        <v>13</v>
      </c>
      <c r="I8" s="109">
        <f>IF(F8&gt;=1.2,G8*1.2,F8*G8)</f>
        <v>6</v>
      </c>
      <c r="J8" s="59">
        <f t="shared" si="2"/>
        <v>2</v>
      </c>
      <c r="K8" s="201"/>
      <c r="L8" s="102" t="s">
        <v>43</v>
      </c>
      <c r="M8" s="100">
        <v>20</v>
      </c>
      <c r="N8" s="150">
        <f t="shared" si="3"/>
        <v>21</v>
      </c>
    </row>
    <row r="9" spans="1:14" ht="34.799999999999997" customHeight="1" x14ac:dyDescent="0.55000000000000004">
      <c r="A9" s="55">
        <v>6</v>
      </c>
      <c r="B9" s="36" t="s">
        <v>147</v>
      </c>
      <c r="C9" s="76">
        <f>VLOOKUP($B$2,'TH NV'!$A$5:$BG$18,'điểm NV'!M12,0)</f>
        <v>4</v>
      </c>
      <c r="D9" s="68">
        <f>VLOOKUP($B$2,'TH NV'!$A$5:$BG$18,N12,0)</f>
        <v>4</v>
      </c>
      <c r="E9" s="42">
        <f>200%-(D9/C9)</f>
        <v>1</v>
      </c>
      <c r="F9" s="42">
        <f t="shared" si="1"/>
        <v>1</v>
      </c>
      <c r="G9" s="110">
        <v>10</v>
      </c>
      <c r="H9" s="111">
        <f t="shared" ref="H9:H13" si="4">G9*1.2</f>
        <v>12</v>
      </c>
      <c r="I9" s="109">
        <f t="shared" ref="I9:I13" si="5">IF(F9&gt;=1.2,G9*1.2,F9*G9)</f>
        <v>10</v>
      </c>
      <c r="J9" s="59">
        <f t="shared" si="2"/>
        <v>0</v>
      </c>
      <c r="K9" s="201"/>
      <c r="L9" s="102" t="s">
        <v>45</v>
      </c>
      <c r="M9" s="97">
        <v>24</v>
      </c>
      <c r="N9" s="150">
        <f t="shared" si="3"/>
        <v>25</v>
      </c>
    </row>
    <row r="10" spans="1:14" ht="33.6" customHeight="1" x14ac:dyDescent="0.55000000000000004">
      <c r="A10" s="55">
        <v>7</v>
      </c>
      <c r="B10" s="50" t="s">
        <v>148</v>
      </c>
      <c r="C10" s="76">
        <f>VLOOKUP($B$2,'TH NV'!$A$5:$BG$18,'điểm NV'!M13,0)</f>
        <v>5</v>
      </c>
      <c r="D10" s="68">
        <f>VLOOKUP($B$2,'TH NV'!$A$5:$BG$18,N13,0)</f>
        <v>6</v>
      </c>
      <c r="E10" s="42">
        <f>200%-IFERROR(D10/C10,2)</f>
        <v>0.8</v>
      </c>
      <c r="F10" s="42">
        <f t="shared" si="1"/>
        <v>0.8</v>
      </c>
      <c r="G10" s="110">
        <v>10</v>
      </c>
      <c r="H10" s="111">
        <f t="shared" si="4"/>
        <v>12</v>
      </c>
      <c r="I10" s="109">
        <f t="shared" si="5"/>
        <v>8</v>
      </c>
      <c r="J10" s="59">
        <f t="shared" si="2"/>
        <v>-1</v>
      </c>
      <c r="K10" s="201"/>
      <c r="L10" s="102" t="s">
        <v>47</v>
      </c>
      <c r="M10" s="97">
        <v>28</v>
      </c>
      <c r="N10" s="150">
        <f t="shared" si="3"/>
        <v>29</v>
      </c>
    </row>
    <row r="11" spans="1:14" ht="17.25" customHeight="1" x14ac:dyDescent="0.55000000000000004">
      <c r="A11" s="55">
        <v>8</v>
      </c>
      <c r="B11" s="36" t="s">
        <v>149</v>
      </c>
      <c r="C11" s="76">
        <f>VLOOKUP($B$2,'TH NV'!$A$5:$BG$18,'điểm NV'!M11,0)</f>
        <v>9</v>
      </c>
      <c r="D11" s="68">
        <f>VLOOKUP($B$2,'TH NV'!$A$5:$BG$18,N11,0)</f>
        <v>10</v>
      </c>
      <c r="E11" s="42">
        <f>D11/C11</f>
        <v>1.1111111111111112</v>
      </c>
      <c r="F11" s="42">
        <f t="shared" si="1"/>
        <v>1.1111111111111112</v>
      </c>
      <c r="G11" s="110">
        <v>5</v>
      </c>
      <c r="H11" s="111">
        <f t="shared" si="4"/>
        <v>6</v>
      </c>
      <c r="I11" s="109">
        <f t="shared" si="5"/>
        <v>5.5555555555555554</v>
      </c>
      <c r="J11" s="59">
        <f t="shared" si="2"/>
        <v>-1</v>
      </c>
      <c r="K11" s="201"/>
      <c r="L11" s="102" t="s">
        <v>48</v>
      </c>
      <c r="M11" s="97">
        <v>32</v>
      </c>
      <c r="N11" s="150">
        <f t="shared" si="3"/>
        <v>33</v>
      </c>
    </row>
    <row r="12" spans="1:14" ht="17.850000000000001" customHeight="1" x14ac:dyDescent="0.55000000000000004">
      <c r="A12" s="55">
        <v>9</v>
      </c>
      <c r="B12" s="153" t="s">
        <v>256</v>
      </c>
      <c r="C12" s="76">
        <f>VLOOKUP($B$2,'TH NV'!$A$5:$BG$18,'điểm NV'!M16,0)</f>
        <v>1</v>
      </c>
      <c r="D12" s="68">
        <f>VLOOKUP($B$2,'TH NV'!$A$5:$BG$18,N16,0)</f>
        <v>1</v>
      </c>
      <c r="E12" s="154"/>
      <c r="F12" s="42">
        <f t="shared" ref="F12" si="6">MAX(E12,0)</f>
        <v>0</v>
      </c>
      <c r="G12" s="110">
        <v>1</v>
      </c>
      <c r="H12" s="111">
        <f t="shared" ref="H12" si="7">G12*1.2</f>
        <v>1.2</v>
      </c>
      <c r="I12" s="109">
        <f t="shared" ref="I12" si="8">IF(F12&gt;=1.2,G12*1.2,F12*G12)</f>
        <v>0</v>
      </c>
      <c r="J12" s="59">
        <f t="shared" ref="J12" si="9">C12-D12</f>
        <v>0</v>
      </c>
      <c r="K12" s="201"/>
      <c r="L12" s="97" t="s">
        <v>51</v>
      </c>
      <c r="M12" s="97">
        <v>36</v>
      </c>
      <c r="N12" s="150">
        <f t="shared" si="3"/>
        <v>37</v>
      </c>
    </row>
    <row r="13" spans="1:14" ht="17.850000000000001" customHeight="1" x14ac:dyDescent="0.55000000000000004">
      <c r="A13" s="55">
        <v>10</v>
      </c>
      <c r="B13" s="49" t="s">
        <v>150</v>
      </c>
      <c r="C13" s="76">
        <f>VLOOKUP($B$2,'TH NV'!$A$5:$BG$18,'điểm NV'!M6,0)+VLOOKUP($B$2,'TH NV'!$A$5:$BG$18,'điểm NV'!M17,0)</f>
        <v>5</v>
      </c>
      <c r="D13" s="68">
        <f>VLOOKUP($B$2,'TH NV'!$A$5:$BG$18,N6,0)+VLOOKUP($B$2,'TH NV'!$A$5:$BG$18,N17,0)</f>
        <v>2</v>
      </c>
      <c r="E13" s="42">
        <f>D13/C13</f>
        <v>0.4</v>
      </c>
      <c r="F13" s="42">
        <f t="shared" si="1"/>
        <v>0.4</v>
      </c>
      <c r="G13" s="110">
        <v>10</v>
      </c>
      <c r="H13" s="111">
        <f t="shared" si="4"/>
        <v>12</v>
      </c>
      <c r="I13" s="109">
        <f t="shared" si="5"/>
        <v>4</v>
      </c>
      <c r="J13" s="59">
        <f t="shared" si="2"/>
        <v>3</v>
      </c>
      <c r="K13" s="201"/>
      <c r="L13" s="97" t="s">
        <v>14</v>
      </c>
      <c r="M13" s="97">
        <v>40</v>
      </c>
      <c r="N13" s="150">
        <f t="shared" si="3"/>
        <v>41</v>
      </c>
    </row>
    <row r="14" spans="1:14" ht="17.850000000000001" customHeight="1" x14ac:dyDescent="0.55000000000000004">
      <c r="A14" s="55">
        <v>11</v>
      </c>
      <c r="B14" s="103" t="s">
        <v>151</v>
      </c>
      <c r="C14" s="151">
        <v>0.97</v>
      </c>
      <c r="D14" s="68">
        <f>VLOOKUP($B$2,'TH NV'!$A$5:$BG$18,N14,0)</f>
        <v>0.9325</v>
      </c>
      <c r="E14" s="43" t="e">
        <f>VLOOKUP($B$2,'TH NV'!$A$1:$BG$18,70,0)</f>
        <v>#REF!</v>
      </c>
      <c r="F14" s="42">
        <f>IF(D14&lt;94.5%,0,IF(D14&lt;95.54%,50%,IF(D14&lt;C14,80%,100%+(30%*(D14-C14)/3.66%))))</f>
        <v>0</v>
      </c>
      <c r="G14" s="110">
        <v>10</v>
      </c>
      <c r="H14" s="111">
        <f>G14*1.3</f>
        <v>13</v>
      </c>
      <c r="I14" s="109">
        <f>IF(F14&gt;=1.3,G14*1.3,F14*G14)</f>
        <v>0</v>
      </c>
      <c r="J14" s="59">
        <f t="shared" si="2"/>
        <v>3.7499999999999978E-2</v>
      </c>
      <c r="K14" s="201"/>
      <c r="L14" s="97" t="s">
        <v>52</v>
      </c>
      <c r="M14" s="97"/>
      <c r="N14" s="150">
        <v>45</v>
      </c>
    </row>
    <row r="15" spans="1:14" ht="17.850000000000001" customHeight="1" x14ac:dyDescent="0.45">
      <c r="B15" s="67" t="s">
        <v>152</v>
      </c>
      <c r="C15" s="200" t="s">
        <v>153</v>
      </c>
      <c r="D15" s="200"/>
      <c r="E15" s="200"/>
      <c r="F15" s="200"/>
      <c r="G15" s="200"/>
      <c r="H15" s="200"/>
      <c r="I15" s="66">
        <f>SUM(I4:I14)</f>
        <v>64.555555555555557</v>
      </c>
      <c r="J15" s="39"/>
      <c r="K15" s="201"/>
      <c r="L15" s="97" t="s">
        <v>16</v>
      </c>
      <c r="M15" s="97">
        <v>48</v>
      </c>
      <c r="N15" s="150">
        <f t="shared" si="3"/>
        <v>49</v>
      </c>
    </row>
    <row r="16" spans="1:14" ht="17.850000000000001" customHeight="1" x14ac:dyDescent="0.45">
      <c r="K16" s="201"/>
      <c r="L16" s="97" t="s">
        <v>54</v>
      </c>
      <c r="M16" s="97">
        <v>52</v>
      </c>
      <c r="N16" s="150">
        <f t="shared" si="3"/>
        <v>53</v>
      </c>
    </row>
    <row r="17" spans="11:14" ht="17.850000000000001" customHeight="1" x14ac:dyDescent="0.45">
      <c r="K17" s="201"/>
      <c r="L17" s="97" t="s">
        <v>55</v>
      </c>
      <c r="M17" s="97">
        <v>56</v>
      </c>
      <c r="N17" s="150">
        <f t="shared" si="3"/>
        <v>57</v>
      </c>
    </row>
    <row r="18" spans="11:14" ht="17.850000000000001" customHeight="1" x14ac:dyDescent="0.45">
      <c r="K18" s="201"/>
    </row>
    <row r="19" spans="11:14" ht="27" customHeight="1" x14ac:dyDescent="0.45"/>
    <row r="20" spans="11:14" ht="17.850000000000001" customHeight="1" x14ac:dyDescent="0.45"/>
    <row r="21" spans="11:14" ht="17.850000000000001" customHeight="1" x14ac:dyDescent="0.45"/>
  </sheetData>
  <mergeCells count="11">
    <mergeCell ref="L3:N3"/>
    <mergeCell ref="F2:F3"/>
    <mergeCell ref="C15:H15"/>
    <mergeCell ref="K2:K18"/>
    <mergeCell ref="A1:A2"/>
    <mergeCell ref="C2:C3"/>
    <mergeCell ref="D2:D3"/>
    <mergeCell ref="E2:E3"/>
    <mergeCell ref="J2:J3"/>
    <mergeCell ref="B1:J1"/>
    <mergeCell ref="I2:I3"/>
  </mergeCells>
  <phoneticPr fontId="0" type="noConversion"/>
  <conditionalFormatting sqref="H4:I14">
    <cfRule type="cellIs" dxfId="35" priority="2" operator="equal">
      <formula>0</formula>
    </cfRule>
  </conditionalFormatting>
  <conditionalFormatting sqref="J4:J14">
    <cfRule type="cellIs" dxfId="34" priority="4" operator="greaterThan">
      <formula>0.1</formula>
    </cfRule>
  </conditionalFormatting>
  <pageMargins left="0.69991251615088756" right="0.69991251615088756" top="0.74990626395218019" bottom="0.74990626395218019" header="0.29996251027415122" footer="0.2999625102741512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'Giao CT'!$B$6:$B$20</xm:f>
          </x14:formula1>
          <xm:sqref>B2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G34"/>
  <sheetViews>
    <sheetView zoomScale="85" zoomScaleNormal="85" workbookViewId="0">
      <pane xSplit="1" topLeftCell="B1" activePane="topRight" state="frozen"/>
      <selection activeCell="E28" sqref="E28"/>
      <selection pane="topRight" activeCell="B8" sqref="B8"/>
    </sheetView>
  </sheetViews>
  <sheetFormatPr defaultColWidth="9" defaultRowHeight="14.25" x14ac:dyDescent="0.45"/>
  <cols>
    <col min="1" max="1" width="28.86328125" style="1" bestFit="1" customWidth="1"/>
    <col min="2" max="2" width="28.86328125" bestFit="1" customWidth="1"/>
    <col min="3" max="3" width="26.86328125" style="120" bestFit="1" customWidth="1"/>
    <col min="4" max="4" width="12.265625" customWidth="1"/>
    <col min="5" max="5" width="4.59765625" bestFit="1" customWidth="1"/>
    <col min="6" max="6" width="6.796875" bestFit="1" customWidth="1"/>
    <col min="7" max="7" width="5.6640625" bestFit="1" customWidth="1"/>
    <col min="8" max="8" width="4" bestFit="1" customWidth="1"/>
    <col min="9" max="9" width="4.59765625" bestFit="1" customWidth="1"/>
    <col min="10" max="10" width="6.796875" bestFit="1" customWidth="1"/>
    <col min="11" max="11" width="5.6640625" bestFit="1" customWidth="1"/>
    <col min="12" max="12" width="4" bestFit="1" customWidth="1"/>
    <col min="13" max="13" width="4.59765625" bestFit="1" customWidth="1"/>
    <col min="14" max="14" width="6.796875" bestFit="1" customWidth="1"/>
    <col min="15" max="15" width="5.6640625" bestFit="1" customWidth="1"/>
    <col min="16" max="16" width="4" bestFit="1" customWidth="1"/>
    <col min="17" max="17" width="4.59765625" bestFit="1" customWidth="1"/>
    <col min="18" max="18" width="6.796875" bestFit="1" customWidth="1"/>
    <col min="19" max="19" width="5.6640625" bestFit="1" customWidth="1"/>
    <col min="20" max="20" width="4.19921875" bestFit="1" customWidth="1"/>
    <col min="21" max="21" width="4.796875" bestFit="1" customWidth="1"/>
    <col min="22" max="22" width="6.796875" bestFit="1" customWidth="1"/>
    <col min="23" max="23" width="5.6640625" bestFit="1" customWidth="1"/>
    <col min="24" max="24" width="5.6640625" customWidth="1"/>
    <col min="25" max="25" width="4.796875" bestFit="1" customWidth="1"/>
    <col min="26" max="26" width="7.265625" bestFit="1" customWidth="1"/>
    <col min="27" max="27" width="5.6640625" bestFit="1" customWidth="1"/>
    <col min="28" max="28" width="4.19921875" bestFit="1" customWidth="1"/>
    <col min="29" max="29" width="4.796875" bestFit="1" customWidth="1"/>
    <col min="30" max="30" width="6.796875" bestFit="1" customWidth="1"/>
    <col min="31" max="31" width="5.6640625" bestFit="1" customWidth="1"/>
    <col min="32" max="32" width="4.19921875" bestFit="1" customWidth="1"/>
    <col min="33" max="33" width="4.796875" bestFit="1" customWidth="1"/>
    <col min="34" max="34" width="6.796875" bestFit="1" customWidth="1"/>
    <col min="35" max="35" width="5.6640625" bestFit="1" customWidth="1"/>
    <col min="36" max="36" width="5.53125" customWidth="1"/>
    <col min="37" max="37" width="5.53125" bestFit="1" customWidth="1"/>
    <col min="38" max="38" width="6.796875" bestFit="1" customWidth="1"/>
    <col min="39" max="39" width="8" bestFit="1" customWidth="1"/>
    <col min="40" max="40" width="4.19921875" bestFit="1" customWidth="1"/>
    <col min="41" max="41" width="4.796875" bestFit="1" customWidth="1"/>
    <col min="42" max="42" width="6.796875" bestFit="1" customWidth="1"/>
    <col min="43" max="43" width="8" bestFit="1" customWidth="1"/>
    <col min="44" max="44" width="7" bestFit="1" customWidth="1"/>
    <col min="45" max="45" width="6.796875" bestFit="1" customWidth="1"/>
    <col min="46" max="46" width="6.19921875" bestFit="1" customWidth="1"/>
    <col min="47" max="47" width="5.19921875" bestFit="1" customWidth="1"/>
    <col min="48" max="48" width="4.19921875" bestFit="1" customWidth="1"/>
    <col min="49" max="49" width="4.59765625" bestFit="1" customWidth="1"/>
    <col min="50" max="50" width="6.796875" bestFit="1" customWidth="1"/>
    <col min="51" max="51" width="5.265625" bestFit="1" customWidth="1"/>
    <col min="52" max="52" width="4.19921875" bestFit="1" customWidth="1"/>
    <col min="53" max="53" width="4.796875" bestFit="1" customWidth="1"/>
    <col min="54" max="54" width="6.796875" bestFit="1" customWidth="1"/>
    <col min="55" max="55" width="5.265625" bestFit="1" customWidth="1"/>
    <col min="56" max="56" width="4.19921875" bestFit="1" customWidth="1"/>
    <col min="57" max="57" width="4.59765625" bestFit="1" customWidth="1"/>
    <col min="58" max="58" width="6.796875" bestFit="1" customWidth="1"/>
    <col min="59" max="59" width="5.6640625" bestFit="1" customWidth="1"/>
  </cols>
  <sheetData>
    <row r="1" spans="1:59" s="1" customFormat="1" ht="24.75" x14ac:dyDescent="0.45">
      <c r="D1" s="195" t="s">
        <v>35</v>
      </c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3" t="s">
        <v>36</v>
      </c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213" t="s">
        <v>37</v>
      </c>
      <c r="AK1" s="213"/>
      <c r="AL1" s="213"/>
      <c r="AM1" s="213"/>
      <c r="AN1" s="213"/>
      <c r="AO1" s="213"/>
      <c r="AP1" s="213"/>
      <c r="AQ1" s="213"/>
      <c r="AR1" s="213"/>
      <c r="AS1" s="213"/>
      <c r="AT1" s="213"/>
      <c r="AU1" s="213"/>
      <c r="AV1" s="214" t="s">
        <v>38</v>
      </c>
      <c r="AW1" s="214"/>
      <c r="AX1" s="214"/>
      <c r="AY1" s="214"/>
      <c r="AZ1" s="214"/>
      <c r="BA1" s="214"/>
      <c r="BB1" s="214"/>
      <c r="BC1" s="214"/>
      <c r="BD1" s="214"/>
      <c r="BE1" s="214"/>
      <c r="BF1" s="214"/>
      <c r="BG1" s="214"/>
    </row>
    <row r="2" spans="1:59" ht="15.6" customHeight="1" x14ac:dyDescent="0.45">
      <c r="B2" s="1"/>
      <c r="C2" s="1"/>
      <c r="D2" s="183" t="s">
        <v>3</v>
      </c>
      <c r="E2" s="184"/>
      <c r="F2" s="184"/>
      <c r="G2" s="184"/>
      <c r="H2" s="183" t="s">
        <v>40</v>
      </c>
      <c r="I2" s="184"/>
      <c r="J2" s="184"/>
      <c r="K2" s="184"/>
      <c r="L2" s="183" t="s">
        <v>41</v>
      </c>
      <c r="M2" s="184"/>
      <c r="N2" s="184"/>
      <c r="O2" s="184"/>
      <c r="P2" s="186" t="s">
        <v>42</v>
      </c>
      <c r="Q2" s="187"/>
      <c r="R2" s="187"/>
      <c r="S2" s="188"/>
      <c r="T2" s="183" t="s">
        <v>43</v>
      </c>
      <c r="U2" s="184"/>
      <c r="V2" s="184"/>
      <c r="W2" s="184"/>
      <c r="X2" s="183" t="s">
        <v>45</v>
      </c>
      <c r="Y2" s="184"/>
      <c r="Z2" s="184"/>
      <c r="AA2" s="184"/>
      <c r="AB2" s="183" t="s">
        <v>47</v>
      </c>
      <c r="AC2" s="184"/>
      <c r="AD2" s="184"/>
      <c r="AE2" s="184"/>
      <c r="AF2" s="183" t="s">
        <v>48</v>
      </c>
      <c r="AG2" s="184"/>
      <c r="AH2" s="184"/>
      <c r="AI2" s="184"/>
      <c r="AJ2" s="180" t="s">
        <v>51</v>
      </c>
      <c r="AK2" s="181"/>
      <c r="AL2" s="181"/>
      <c r="AM2" s="182"/>
      <c r="AN2" s="180" t="s">
        <v>14</v>
      </c>
      <c r="AO2" s="181"/>
      <c r="AP2" s="181"/>
      <c r="AQ2" s="182"/>
      <c r="AR2" s="180" t="s">
        <v>52</v>
      </c>
      <c r="AS2" s="181"/>
      <c r="AT2" s="181"/>
      <c r="AU2" s="182"/>
      <c r="AV2" s="184" t="s">
        <v>16</v>
      </c>
      <c r="AW2" s="184"/>
      <c r="AX2" s="184"/>
      <c r="AY2" s="184"/>
      <c r="AZ2" s="184" t="s">
        <v>54</v>
      </c>
      <c r="BA2" s="184"/>
      <c r="BB2" s="184"/>
      <c r="BC2" s="184"/>
      <c r="BD2" s="183" t="s">
        <v>55</v>
      </c>
      <c r="BE2" s="184"/>
      <c r="BF2" s="194"/>
      <c r="BG2" s="184"/>
    </row>
    <row r="3" spans="1:59" ht="15" x14ac:dyDescent="0.45">
      <c r="B3" s="8" t="s">
        <v>126</v>
      </c>
      <c r="C3" s="8" t="s">
        <v>127</v>
      </c>
      <c r="D3" s="8" t="s">
        <v>2</v>
      </c>
      <c r="E3" s="9" t="s">
        <v>58</v>
      </c>
      <c r="F3" s="9" t="s">
        <v>4</v>
      </c>
      <c r="G3" s="45" t="s">
        <v>59</v>
      </c>
      <c r="H3" s="8" t="s">
        <v>2</v>
      </c>
      <c r="I3" s="9" t="s">
        <v>58</v>
      </c>
      <c r="J3" s="31" t="s">
        <v>4</v>
      </c>
      <c r="K3" s="45" t="s">
        <v>59</v>
      </c>
      <c r="L3" s="8" t="s">
        <v>2</v>
      </c>
      <c r="M3" s="9" t="s">
        <v>58</v>
      </c>
      <c r="N3" s="9" t="s">
        <v>4</v>
      </c>
      <c r="O3" s="45" t="s">
        <v>59</v>
      </c>
      <c r="P3" s="8" t="s">
        <v>2</v>
      </c>
      <c r="Q3" s="9" t="s">
        <v>58</v>
      </c>
      <c r="R3" s="9" t="s">
        <v>4</v>
      </c>
      <c r="S3" s="45" t="s">
        <v>59</v>
      </c>
      <c r="T3" s="8" t="s">
        <v>2</v>
      </c>
      <c r="U3" s="9" t="s">
        <v>58</v>
      </c>
      <c r="V3" s="31" t="s">
        <v>4</v>
      </c>
      <c r="W3" s="10" t="s">
        <v>59</v>
      </c>
      <c r="X3" s="8" t="s">
        <v>2</v>
      </c>
      <c r="Y3" s="9" t="s">
        <v>58</v>
      </c>
      <c r="Z3" s="31" t="s">
        <v>4</v>
      </c>
      <c r="AA3" s="45" t="s">
        <v>59</v>
      </c>
      <c r="AB3" s="22" t="s">
        <v>2</v>
      </c>
      <c r="AC3" s="9" t="s">
        <v>58</v>
      </c>
      <c r="AD3" s="31" t="s">
        <v>4</v>
      </c>
      <c r="AE3" s="45" t="s">
        <v>59</v>
      </c>
      <c r="AF3" s="22" t="s">
        <v>2</v>
      </c>
      <c r="AG3" s="9" t="s">
        <v>58</v>
      </c>
      <c r="AH3" s="31" t="s">
        <v>4</v>
      </c>
      <c r="AI3" s="45" t="s">
        <v>59</v>
      </c>
      <c r="AJ3" s="22" t="s">
        <v>2</v>
      </c>
      <c r="AK3" s="9" t="s">
        <v>58</v>
      </c>
      <c r="AL3" s="14" t="s">
        <v>4</v>
      </c>
      <c r="AM3" s="47" t="s">
        <v>60</v>
      </c>
      <c r="AN3" s="8" t="s">
        <v>2</v>
      </c>
      <c r="AO3" s="9" t="s">
        <v>58</v>
      </c>
      <c r="AP3" s="14" t="s">
        <v>4</v>
      </c>
      <c r="AQ3" s="60" t="s">
        <v>60</v>
      </c>
      <c r="AR3" s="11" t="s">
        <v>2</v>
      </c>
      <c r="AS3" s="9" t="s">
        <v>58</v>
      </c>
      <c r="AT3" s="14" t="s">
        <v>61</v>
      </c>
      <c r="AU3" s="47" t="s">
        <v>62</v>
      </c>
      <c r="AV3" s="8" t="s">
        <v>2</v>
      </c>
      <c r="AW3" s="9" t="s">
        <v>58</v>
      </c>
      <c r="AX3" s="14" t="s">
        <v>4</v>
      </c>
      <c r="AY3" s="47" t="s">
        <v>59</v>
      </c>
      <c r="AZ3" s="8" t="s">
        <v>2</v>
      </c>
      <c r="BA3" s="9" t="s">
        <v>58</v>
      </c>
      <c r="BB3" s="14" t="s">
        <v>4</v>
      </c>
      <c r="BC3" s="47" t="s">
        <v>59</v>
      </c>
      <c r="BD3" s="8" t="s">
        <v>2</v>
      </c>
      <c r="BE3" s="9" t="s">
        <v>58</v>
      </c>
      <c r="BF3" s="14" t="s">
        <v>4</v>
      </c>
      <c r="BG3" s="47" t="s">
        <v>59</v>
      </c>
    </row>
    <row r="4" spans="1:59" ht="15.4" x14ac:dyDescent="0.45">
      <c r="A4" s="121" t="s">
        <v>67</v>
      </c>
      <c r="B4" s="121" t="s">
        <v>66</v>
      </c>
      <c r="C4" s="121" t="s">
        <v>128</v>
      </c>
      <c r="D4" s="123">
        <f>VLOOKUP(A4,'Giao CT'!$D$6:$S$20,3,0)</f>
        <v>8</v>
      </c>
      <c r="E4" s="58">
        <f>VLOOKUP(A4,GBOC!$E$7:$DG$29,$B$21,0)</f>
        <v>8</v>
      </c>
      <c r="F4" s="14">
        <f t="shared" ref="F4" si="0">IFERROR(E4/D4,0)</f>
        <v>1</v>
      </c>
      <c r="G4" s="46">
        <f t="shared" ref="G4" si="1">D4-E4</f>
        <v>0</v>
      </c>
      <c r="H4" s="123">
        <f>VLOOKUP(A4,'Giao CT'!$D$6:$S$20,4,0)</f>
        <v>4</v>
      </c>
      <c r="I4" s="13">
        <f>VLOOKUP(A4,GBOC!$E$7:$DG$29,$B$22,0)</f>
        <v>6</v>
      </c>
      <c r="J4" s="14">
        <f t="shared" ref="J4" si="2">IFERROR(I4/H4,0)</f>
        <v>1.5</v>
      </c>
      <c r="K4" s="46">
        <f t="shared" ref="K4" si="3">H4-I4</f>
        <v>-2</v>
      </c>
      <c r="L4" s="123">
        <f>VLOOKUP(A4,'Giao CT'!$D$6:$S$20,5,0)</f>
        <v>5</v>
      </c>
      <c r="M4" s="58">
        <f>VLOOKUP(A4,GBOC!$E$7:$DG$29,$B$23,0)</f>
        <v>5</v>
      </c>
      <c r="N4" s="14">
        <f t="shared" ref="N4" si="4">IFERROR(M4/L4,0)</f>
        <v>1</v>
      </c>
      <c r="O4" s="46">
        <f t="shared" ref="O4" si="5">L4-M4</f>
        <v>0</v>
      </c>
      <c r="P4" s="52">
        <f>VLOOKUP(A4,'Giao CT'!$D$6:$S$20,6,0)</f>
        <v>5</v>
      </c>
      <c r="Q4" s="58">
        <f>VLOOKUP(A4,GBOC!$E$7:$DG$29,$B$24,0)</f>
        <v>6</v>
      </c>
      <c r="R4" s="14">
        <f t="shared" ref="R4" si="6">IFERROR(Q4/P4,0)</f>
        <v>1.2</v>
      </c>
      <c r="S4" s="46">
        <f t="shared" ref="S4" si="7">P4-Q4</f>
        <v>-1</v>
      </c>
      <c r="T4" s="52">
        <f>VLOOKUP(A4,'Giao CT'!$D$6:$S$20,7,0)</f>
        <v>4</v>
      </c>
      <c r="U4" s="13">
        <f>VLOOKUP(A4,GBOC!$E$7:$DG$29,$B$25,0)</f>
        <v>4</v>
      </c>
      <c r="V4" s="14">
        <f t="shared" ref="V4" si="8">IFERROR(U4/T4,0)</f>
        <v>1</v>
      </c>
      <c r="W4" s="44">
        <f t="shared" ref="W4" si="9">T4-U4</f>
        <v>0</v>
      </c>
      <c r="X4" s="52">
        <f>VLOOKUP(A4,'Giao CT'!$D$6:$S$20,8,0)</f>
        <v>1</v>
      </c>
      <c r="Y4" s="13">
        <f>VLOOKUP(A4,GBOC!$E$7:$DG$29,$B$26,0)</f>
        <v>1</v>
      </c>
      <c r="Z4" s="14">
        <f t="shared" ref="Z4" si="10">IFERROR(Y4/X4,0)</f>
        <v>1</v>
      </c>
      <c r="AA4" s="46">
        <f t="shared" ref="AA4" si="11">X4-Y4</f>
        <v>0</v>
      </c>
      <c r="AB4" s="51">
        <f>VLOOKUP(A4,'Giao CT'!$D$6:$S$20,9,0)</f>
        <v>30</v>
      </c>
      <c r="AC4" s="13">
        <f>VLOOKUP(A4,GBOC!$E$7:$DG$29,$B$27,0)</f>
        <v>33</v>
      </c>
      <c r="AD4" s="14">
        <f t="shared" ref="AD4" si="12">IFERROR(AC4/AB4,0)</f>
        <v>1.1000000000000001</v>
      </c>
      <c r="AE4" s="46">
        <f t="shared" ref="AE4" si="13">AB4-AC4</f>
        <v>-3</v>
      </c>
      <c r="AF4" s="51">
        <f>VLOOKUP(A4,'Giao CT'!$D$6:$S$20,10,0)</f>
        <v>9</v>
      </c>
      <c r="AG4" s="13">
        <f>VLOOKUP(A4,GBOC!$E$7:$DG$29,$B$28,0)</f>
        <v>12</v>
      </c>
      <c r="AH4" s="14">
        <f t="shared" ref="AH4" si="14">IFERROR(AG4/AF4,0)</f>
        <v>1.3333333333333333</v>
      </c>
      <c r="AI4" s="46">
        <f t="shared" ref="AI4" si="15">AF4-AG4</f>
        <v>-3</v>
      </c>
      <c r="AJ4" s="51">
        <f>VLOOKUP(A4,'Giao CT'!$D$6:$S$20,11,0)</f>
        <v>4</v>
      </c>
      <c r="AK4" s="13">
        <f>VLOOKUP(B4,'TH NV'!$B$5:$BG$18,36,0)</f>
        <v>2</v>
      </c>
      <c r="AL4" s="14">
        <f t="shared" ref="AL4" si="16">200%-IFERROR(AK4/AJ4,0)</f>
        <v>1.5</v>
      </c>
      <c r="AM4" s="61">
        <f t="shared" ref="AM4" si="17">MAX(AL4,0)</f>
        <v>1.5</v>
      </c>
      <c r="AN4" s="51">
        <f>VLOOKUP(A4,'Giao CT'!$D$6:$S$20,12,0)</f>
        <v>5</v>
      </c>
      <c r="AO4" s="13">
        <f>VLOOKUP(A4,GBOC!$E$7:$DG$29,$B$30,0)</f>
        <v>3</v>
      </c>
      <c r="AP4" s="14">
        <f t="shared" ref="AP4" si="18">200%-IFERROR(AO4/AN4,0)</f>
        <v>1.4</v>
      </c>
      <c r="AQ4" s="61">
        <f t="shared" ref="AQ4" si="19">MAX(AP4,0)</f>
        <v>1.4</v>
      </c>
      <c r="AR4" s="33">
        <v>0.97</v>
      </c>
      <c r="AS4" s="112">
        <f>(VLOOKUP(B4,cuoc!$B$7:$P$27,14,0))*1%</f>
        <v>0.96409999999999996</v>
      </c>
      <c r="AT4" s="14">
        <f t="shared" ref="AT4" si="20">IF(AS4&lt;94.5%,0,IF(AS4&lt;95.54%,50%,IF(AS4&lt;AR4,80%,100%+(30%*(AS4-AR4)/3.39%))))</f>
        <v>0.8</v>
      </c>
      <c r="AU4" s="48">
        <f t="shared" ref="AU4" si="21">AR4-AS4</f>
        <v>5.9000000000000163E-3</v>
      </c>
      <c r="AV4" s="51">
        <f>VLOOKUP(A4,'Giao CT'!$D$6:$S$20,14,0)</f>
        <v>2</v>
      </c>
      <c r="AW4" s="13">
        <f>VLOOKUP(A4,GBOC!$E$7:$DG$29,$B$32,0)</f>
        <v>0</v>
      </c>
      <c r="AX4" s="14">
        <f t="shared" ref="AX4" si="22">AW4/AV4</f>
        <v>0</v>
      </c>
      <c r="AY4" s="48">
        <f t="shared" ref="AY4" si="23">AV4-AW4</f>
        <v>2</v>
      </c>
      <c r="AZ4" s="51">
        <f>VLOOKUP(A4,'Giao CT'!$D$6:$S$20,15,0)</f>
        <v>1</v>
      </c>
      <c r="BA4" s="13">
        <f>VLOOKUP(A4,GBOC!$E$7:$DG$29,$B$33,0)</f>
        <v>1</v>
      </c>
      <c r="BB4" s="14">
        <f t="shared" ref="BB4" si="24">IFERROR(BA4/AZ4,1)</f>
        <v>1</v>
      </c>
      <c r="BC4" s="48">
        <f t="shared" ref="BC4" si="25">AZ4-BA4</f>
        <v>0</v>
      </c>
      <c r="BD4" s="51">
        <f>VLOOKUP(A4,'Giao CT'!$D$6:$S$20,16,0)</f>
        <v>0</v>
      </c>
      <c r="BE4" s="13">
        <f>VLOOKUP(A4,GBOC!$E$7:$DG$29,$B$34,0)</f>
        <v>0</v>
      </c>
      <c r="BF4" s="14">
        <f t="shared" ref="BF4" si="26">IFERROR(BE4/BD4,1)</f>
        <v>1</v>
      </c>
      <c r="BG4" s="48">
        <f t="shared" ref="BG4" si="27">BD4-BE4</f>
        <v>0</v>
      </c>
    </row>
    <row r="5" spans="1:59" ht="15.4" x14ac:dyDescent="0.45">
      <c r="A5" s="121" t="s">
        <v>87</v>
      </c>
      <c r="B5" s="121" t="s">
        <v>86</v>
      </c>
      <c r="C5" s="121" t="s">
        <v>128</v>
      </c>
      <c r="D5" s="123">
        <f>VLOOKUP(A5,'Giao CT'!$D$6:$S$20,3,0)</f>
        <v>8</v>
      </c>
      <c r="E5" s="58">
        <f>VLOOKUP(A5,GBOC!$E$7:$DG$29,$B$21,0)</f>
        <v>8</v>
      </c>
      <c r="F5" s="14">
        <f t="shared" ref="F5:F16" si="28">IFERROR(E5/D5,0)</f>
        <v>1</v>
      </c>
      <c r="G5" s="46">
        <f t="shared" ref="G5:G16" si="29">D5-E5</f>
        <v>0</v>
      </c>
      <c r="H5" s="123">
        <f>VLOOKUP(A5,'Giao CT'!$D$6:$S$20,4,0)</f>
        <v>4</v>
      </c>
      <c r="I5" s="13">
        <f>VLOOKUP(A5,GBOC!$E$7:$DG$29,$B$22,0)</f>
        <v>5</v>
      </c>
      <c r="J5" s="14">
        <f t="shared" ref="J5:J16" si="30">IFERROR(I5/H5,0)</f>
        <v>1.25</v>
      </c>
      <c r="K5" s="46">
        <f t="shared" ref="K5:K16" si="31">H5-I5</f>
        <v>-1</v>
      </c>
      <c r="L5" s="123">
        <f>VLOOKUP(A5,'Giao CT'!$D$6:$S$20,5,0)</f>
        <v>5</v>
      </c>
      <c r="M5" s="58">
        <f>VLOOKUP(A5,GBOC!$E$7:$DG$29,$B$23,0)</f>
        <v>4</v>
      </c>
      <c r="N5" s="14">
        <f t="shared" ref="N5:N16" si="32">IFERROR(M5/L5,0)</f>
        <v>0.8</v>
      </c>
      <c r="O5" s="46">
        <f t="shared" ref="O5:O16" si="33">L5-M5</f>
        <v>1</v>
      </c>
      <c r="P5" s="52">
        <f>VLOOKUP(A5,'Giao CT'!$D$6:$S$20,6,0)</f>
        <v>5</v>
      </c>
      <c r="Q5" s="58">
        <f>VLOOKUP(A5,GBOC!$E$7:$DG$29,$B$24,0)</f>
        <v>1</v>
      </c>
      <c r="R5" s="14">
        <f t="shared" ref="R5:R16" si="34">IFERROR(Q5/P5,0)</f>
        <v>0.2</v>
      </c>
      <c r="S5" s="46">
        <f t="shared" ref="S5:S16" si="35">P5-Q5</f>
        <v>4</v>
      </c>
      <c r="T5" s="52">
        <f>VLOOKUP(A5,'Giao CT'!$D$6:$S$20,7,0)</f>
        <v>4</v>
      </c>
      <c r="U5" s="13">
        <f>VLOOKUP(A5,GBOC!$E$7:$DG$29,$B$25,0)</f>
        <v>5</v>
      </c>
      <c r="V5" s="14">
        <f t="shared" ref="V5:V16" si="36">IFERROR(U5/T5,0)</f>
        <v>1.25</v>
      </c>
      <c r="W5" s="44">
        <f t="shared" ref="W5:W16" si="37">T5-U5</f>
        <v>-1</v>
      </c>
      <c r="X5" s="52">
        <f>VLOOKUP(A5,'Giao CT'!$D$6:$S$20,8,0)</f>
        <v>1</v>
      </c>
      <c r="Y5" s="13">
        <f>VLOOKUP(A5,GBOC!$E$7:$DG$29,$B$26,0)</f>
        <v>1</v>
      </c>
      <c r="Z5" s="14">
        <f t="shared" ref="Z5:Z16" si="38">IFERROR(Y5/X5,0)</f>
        <v>1</v>
      </c>
      <c r="AA5" s="46">
        <f t="shared" ref="AA5:AA16" si="39">X5-Y5</f>
        <v>0</v>
      </c>
      <c r="AB5" s="51">
        <f>VLOOKUP(A5,'Giao CT'!$D$6:$S$20,9,0)</f>
        <v>50</v>
      </c>
      <c r="AC5" s="13">
        <f>VLOOKUP(A5,GBOC!$E$7:$DG$29,$B$27,0)</f>
        <v>71</v>
      </c>
      <c r="AD5" s="14">
        <f t="shared" ref="AD5:AD16" si="40">IFERROR(AC5/AB5,0)</f>
        <v>1.42</v>
      </c>
      <c r="AE5" s="46">
        <f t="shared" ref="AE5:AE16" si="41">AB5-AC5</f>
        <v>-21</v>
      </c>
      <c r="AF5" s="51">
        <f>VLOOKUP(A5,'Giao CT'!$D$6:$S$20,10,0)</f>
        <v>9</v>
      </c>
      <c r="AG5" s="13">
        <f>VLOOKUP(A5,GBOC!$E$7:$DG$29,$B$28,0)</f>
        <v>11</v>
      </c>
      <c r="AH5" s="14">
        <f t="shared" ref="AH5:AH16" si="42">IFERROR(AG5/AF5,0)</f>
        <v>1.2222222222222223</v>
      </c>
      <c r="AI5" s="46">
        <f t="shared" ref="AI5:AI16" si="43">AF5-AG5</f>
        <v>-2</v>
      </c>
      <c r="AJ5" s="51">
        <f>VLOOKUP(A5,'Giao CT'!$D$6:$S$20,11,0)</f>
        <v>4</v>
      </c>
      <c r="AK5" s="13">
        <f>VLOOKUP(B5,'TH NV'!$B$5:$BG$18,36,0)</f>
        <v>19</v>
      </c>
      <c r="AL5" s="14">
        <f t="shared" ref="AL5:AL16" si="44">200%-IFERROR(AK5/AJ5,0)</f>
        <v>-2.75</v>
      </c>
      <c r="AM5" s="61">
        <f t="shared" ref="AM5:AM16" si="45">MAX(AL5,0)</f>
        <v>0</v>
      </c>
      <c r="AN5" s="51">
        <f>VLOOKUP(A5,'Giao CT'!$D$6:$S$20,12,0)</f>
        <v>5</v>
      </c>
      <c r="AO5" s="13">
        <f>VLOOKUP(A5,GBOC!$E$7:$DG$29,$B$30,0)</f>
        <v>2</v>
      </c>
      <c r="AP5" s="14">
        <f t="shared" ref="AP5:AP16" si="46">200%-IFERROR(AO5/AN5,0)</f>
        <v>1.6</v>
      </c>
      <c r="AQ5" s="61">
        <f t="shared" ref="AQ5:AQ16" si="47">MAX(AP5,0)</f>
        <v>1.6</v>
      </c>
      <c r="AR5" s="33">
        <v>0.97</v>
      </c>
      <c r="AS5" s="112">
        <f>(VLOOKUP(B5,cuoc!$B$7:$P$27,14,0))*1%</f>
        <v>0.95900000000000007</v>
      </c>
      <c r="AT5" s="14">
        <f t="shared" ref="AT5:AT16" si="48">IF(AS5&lt;94.5%,0,IF(AS5&lt;95.54%,50%,IF(AS5&lt;AR5,80%,100%+(30%*(AS5-AR5)/3.39%))))</f>
        <v>0.8</v>
      </c>
      <c r="AU5" s="48">
        <f t="shared" ref="AU5:AU16" si="49">AR5-AS5</f>
        <v>1.0999999999999899E-2</v>
      </c>
      <c r="AV5" s="51">
        <f>VLOOKUP(A5,'Giao CT'!$D$6:$S$20,14,0)</f>
        <v>2</v>
      </c>
      <c r="AW5" s="13">
        <f>VLOOKUP(A5,GBOC!$E$7:$DG$29,$B$32,0)</f>
        <v>0</v>
      </c>
      <c r="AX5" s="14">
        <f t="shared" ref="AX5:AX16" si="50">AW5/AV5</f>
        <v>0</v>
      </c>
      <c r="AY5" s="48">
        <f t="shared" ref="AY5:AY16" si="51">AV5-AW5</f>
        <v>2</v>
      </c>
      <c r="AZ5" s="51">
        <f>VLOOKUP(A5,'Giao CT'!$D$6:$S$20,15,0)</f>
        <v>1</v>
      </c>
      <c r="BA5" s="13">
        <f>VLOOKUP(A5,GBOC!$E$7:$DG$29,$B$33,0)</f>
        <v>2</v>
      </c>
      <c r="BB5" s="14">
        <f t="shared" ref="BB5:BB16" si="52">IFERROR(BA5/AZ5,1)</f>
        <v>2</v>
      </c>
      <c r="BC5" s="48">
        <f t="shared" ref="BC5:BC16" si="53">AZ5-BA5</f>
        <v>-1</v>
      </c>
      <c r="BD5" s="51">
        <f>VLOOKUP(A5,'Giao CT'!$D$6:$S$20,16,0)</f>
        <v>1</v>
      </c>
      <c r="BE5" s="13">
        <f>VLOOKUP(A5,GBOC!$E$7:$DG$29,$B$34,0)</f>
        <v>0</v>
      </c>
      <c r="BF5" s="14">
        <f t="shared" ref="BF5:BF16" si="54">IFERROR(BE5/BD5,1)</f>
        <v>0</v>
      </c>
      <c r="BG5" s="48">
        <f t="shared" ref="BG5:BG16" si="55">BD5-BE5</f>
        <v>1</v>
      </c>
    </row>
    <row r="6" spans="1:59" ht="15.4" x14ac:dyDescent="0.45">
      <c r="A6" s="121" t="s">
        <v>99</v>
      </c>
      <c r="B6" s="121" t="s">
        <v>98</v>
      </c>
      <c r="C6" s="121" t="s">
        <v>128</v>
      </c>
      <c r="D6" s="123">
        <f>VLOOKUP(A6,'Giao CT'!$D$6:$S$20,3,0)</f>
        <v>8</v>
      </c>
      <c r="E6" s="58">
        <f>VLOOKUP(A6,GBOC!$E$7:$DG$29,$B$21,0)</f>
        <v>10</v>
      </c>
      <c r="F6" s="14">
        <f t="shared" si="28"/>
        <v>1.25</v>
      </c>
      <c r="G6" s="46">
        <f t="shared" si="29"/>
        <v>-2</v>
      </c>
      <c r="H6" s="123">
        <f>VLOOKUP(A6,'Giao CT'!$D$6:$S$20,4,0)</f>
        <v>4</v>
      </c>
      <c r="I6" s="13">
        <f>VLOOKUP(A6,GBOC!$E$7:$DG$29,$B$22,0)</f>
        <v>4</v>
      </c>
      <c r="J6" s="14">
        <f t="shared" si="30"/>
        <v>1</v>
      </c>
      <c r="K6" s="46">
        <f t="shared" si="31"/>
        <v>0</v>
      </c>
      <c r="L6" s="123">
        <f>VLOOKUP(A6,'Giao CT'!$D$6:$S$20,5,0)</f>
        <v>5</v>
      </c>
      <c r="M6" s="58">
        <f>VLOOKUP(A6,GBOC!$E$7:$DG$29,$B$23,0)</f>
        <v>3</v>
      </c>
      <c r="N6" s="14">
        <f t="shared" si="32"/>
        <v>0.6</v>
      </c>
      <c r="O6" s="46">
        <f t="shared" si="33"/>
        <v>2</v>
      </c>
      <c r="P6" s="52">
        <f>VLOOKUP(A6,'Giao CT'!$D$6:$S$20,6,0)</f>
        <v>5</v>
      </c>
      <c r="Q6" s="58">
        <f>VLOOKUP(A6,GBOC!$E$7:$DG$29,$B$24,0)</f>
        <v>6</v>
      </c>
      <c r="R6" s="14">
        <f t="shared" si="34"/>
        <v>1.2</v>
      </c>
      <c r="S6" s="46">
        <f t="shared" si="35"/>
        <v>-1</v>
      </c>
      <c r="T6" s="52">
        <f>VLOOKUP(A6,'Giao CT'!$D$6:$S$20,7,0)</f>
        <v>3</v>
      </c>
      <c r="U6" s="13">
        <f>VLOOKUP(A6,GBOC!$E$7:$DG$29,$B$25,0)</f>
        <v>4</v>
      </c>
      <c r="V6" s="14">
        <f t="shared" si="36"/>
        <v>1.3333333333333333</v>
      </c>
      <c r="W6" s="44">
        <f t="shared" si="37"/>
        <v>-1</v>
      </c>
      <c r="X6" s="52">
        <f>VLOOKUP(A6,'Giao CT'!$D$6:$S$20,8,0)</f>
        <v>1</v>
      </c>
      <c r="Y6" s="13">
        <f>VLOOKUP(A6,GBOC!$E$7:$DG$29,$B$26,0)</f>
        <v>1</v>
      </c>
      <c r="Z6" s="14">
        <f t="shared" si="38"/>
        <v>1</v>
      </c>
      <c r="AA6" s="46">
        <f t="shared" si="39"/>
        <v>0</v>
      </c>
      <c r="AB6" s="51">
        <f>VLOOKUP(A6,'Giao CT'!$D$6:$S$20,9,0)</f>
        <v>30</v>
      </c>
      <c r="AC6" s="13">
        <f>VLOOKUP(A6,GBOC!$E$7:$DG$29,$B$27,0)</f>
        <v>61</v>
      </c>
      <c r="AD6" s="14">
        <f t="shared" si="40"/>
        <v>2.0333333333333332</v>
      </c>
      <c r="AE6" s="46">
        <f t="shared" si="41"/>
        <v>-31</v>
      </c>
      <c r="AF6" s="51">
        <f>VLOOKUP(A6,'Giao CT'!$D$6:$S$20,10,0)</f>
        <v>9</v>
      </c>
      <c r="AG6" s="13">
        <f>VLOOKUP(A6,GBOC!$E$7:$DG$29,$B$28,0)</f>
        <v>11</v>
      </c>
      <c r="AH6" s="14">
        <f t="shared" si="42"/>
        <v>1.2222222222222223</v>
      </c>
      <c r="AI6" s="46">
        <f t="shared" si="43"/>
        <v>-2</v>
      </c>
      <c r="AJ6" s="51">
        <f>VLOOKUP(A6,'Giao CT'!$D$6:$S$20,11,0)</f>
        <v>4</v>
      </c>
      <c r="AK6" s="13">
        <f>VLOOKUP(B6,'TH NV'!$B$5:$BG$18,36,0)</f>
        <v>4</v>
      </c>
      <c r="AL6" s="14">
        <f t="shared" si="44"/>
        <v>1</v>
      </c>
      <c r="AM6" s="61">
        <f t="shared" si="45"/>
        <v>1</v>
      </c>
      <c r="AN6" s="51">
        <f>VLOOKUP(A6,'Giao CT'!$D$6:$S$20,12,0)</f>
        <v>5</v>
      </c>
      <c r="AO6" s="13">
        <f>VLOOKUP(A6,GBOC!$E$7:$DG$29,$B$30,0)</f>
        <v>2</v>
      </c>
      <c r="AP6" s="14">
        <f t="shared" si="46"/>
        <v>1.6</v>
      </c>
      <c r="AQ6" s="61">
        <f t="shared" si="47"/>
        <v>1.6</v>
      </c>
      <c r="AR6" s="33">
        <v>0.97</v>
      </c>
      <c r="AS6" s="112">
        <f>(VLOOKUP(B6,cuoc!$B$7:$P$27,14,0))*1%</f>
        <v>0.95920000000000005</v>
      </c>
      <c r="AT6" s="14">
        <f t="shared" si="48"/>
        <v>0.8</v>
      </c>
      <c r="AU6" s="48">
        <f t="shared" si="49"/>
        <v>1.0799999999999921E-2</v>
      </c>
      <c r="AV6" s="51">
        <f>VLOOKUP(A6,'Giao CT'!$D$6:$S$20,14,0)</f>
        <v>3</v>
      </c>
      <c r="AW6" s="13">
        <f>VLOOKUP(A6,GBOC!$E$7:$DG$29,$B$32,0)</f>
        <v>0</v>
      </c>
      <c r="AX6" s="14">
        <f t="shared" si="50"/>
        <v>0</v>
      </c>
      <c r="AY6" s="48">
        <f t="shared" si="51"/>
        <v>3</v>
      </c>
      <c r="AZ6" s="51">
        <f>VLOOKUP(A6,'Giao CT'!$D$6:$S$20,15,0)</f>
        <v>1</v>
      </c>
      <c r="BA6" s="13">
        <f>VLOOKUP(A6,GBOC!$E$7:$DG$29,$B$33,0)</f>
        <v>1</v>
      </c>
      <c r="BB6" s="14">
        <f t="shared" si="52"/>
        <v>1</v>
      </c>
      <c r="BC6" s="48">
        <f t="shared" si="53"/>
        <v>0</v>
      </c>
      <c r="BD6" s="51">
        <f>VLOOKUP(A6,'Giao CT'!$D$6:$S$20,16,0)</f>
        <v>0</v>
      </c>
      <c r="BE6" s="13">
        <f>VLOOKUP(A6,GBOC!$E$7:$DG$29,$B$34,0)</f>
        <v>0</v>
      </c>
      <c r="BF6" s="14">
        <f t="shared" si="54"/>
        <v>1</v>
      </c>
      <c r="BG6" s="48">
        <f t="shared" si="55"/>
        <v>0</v>
      </c>
    </row>
    <row r="7" spans="1:59" ht="15.4" x14ac:dyDescent="0.45">
      <c r="A7" s="121" t="s">
        <v>110</v>
      </c>
      <c r="B7" s="121" t="s">
        <v>109</v>
      </c>
      <c r="C7" s="121" t="s">
        <v>128</v>
      </c>
      <c r="D7" s="123">
        <f>VLOOKUP(A7,'Giao CT'!$D$6:$S$20,3,0)</f>
        <v>8</v>
      </c>
      <c r="E7" s="58">
        <f>VLOOKUP(A7,GBOC!$E$7:$DG$29,$B$21,0)</f>
        <v>8</v>
      </c>
      <c r="F7" s="14">
        <f t="shared" si="28"/>
        <v>1</v>
      </c>
      <c r="G7" s="46">
        <f t="shared" si="29"/>
        <v>0</v>
      </c>
      <c r="H7" s="123">
        <f>VLOOKUP(A7,'Giao CT'!$D$6:$S$20,4,0)</f>
        <v>4</v>
      </c>
      <c r="I7" s="13">
        <f>VLOOKUP(A7,GBOC!$E$7:$DG$29,$B$22,0)</f>
        <v>2</v>
      </c>
      <c r="J7" s="14">
        <f t="shared" si="30"/>
        <v>0.5</v>
      </c>
      <c r="K7" s="46">
        <f t="shared" si="31"/>
        <v>2</v>
      </c>
      <c r="L7" s="123">
        <f>VLOOKUP(A7,'Giao CT'!$D$6:$S$20,5,0)</f>
        <v>5</v>
      </c>
      <c r="M7" s="58">
        <f>VLOOKUP(A7,GBOC!$E$7:$DG$29,$B$23,0)</f>
        <v>2</v>
      </c>
      <c r="N7" s="14">
        <f t="shared" si="32"/>
        <v>0.4</v>
      </c>
      <c r="O7" s="46">
        <f t="shared" si="33"/>
        <v>3</v>
      </c>
      <c r="P7" s="52">
        <f>VLOOKUP(A7,'Giao CT'!$D$6:$S$20,6,0)</f>
        <v>5</v>
      </c>
      <c r="Q7" s="58">
        <f>VLOOKUP(A7,GBOC!$E$7:$DG$29,$B$24,0)</f>
        <v>3</v>
      </c>
      <c r="R7" s="14">
        <f t="shared" si="34"/>
        <v>0.6</v>
      </c>
      <c r="S7" s="46">
        <f t="shared" si="35"/>
        <v>2</v>
      </c>
      <c r="T7" s="52">
        <f>VLOOKUP(A7,'Giao CT'!$D$6:$S$20,7,0)</f>
        <v>3</v>
      </c>
      <c r="U7" s="13">
        <f>VLOOKUP(A7,GBOC!$E$7:$DG$29,$B$25,0)</f>
        <v>2</v>
      </c>
      <c r="V7" s="14">
        <f t="shared" si="36"/>
        <v>0.66666666666666663</v>
      </c>
      <c r="W7" s="44">
        <f t="shared" si="37"/>
        <v>1</v>
      </c>
      <c r="X7" s="52">
        <f>VLOOKUP(A7,'Giao CT'!$D$6:$S$20,8,0)</f>
        <v>1</v>
      </c>
      <c r="Y7" s="13">
        <f>VLOOKUP(A7,GBOC!$E$7:$DG$29,$B$26,0)</f>
        <v>1</v>
      </c>
      <c r="Z7" s="14">
        <f t="shared" si="38"/>
        <v>1</v>
      </c>
      <c r="AA7" s="46">
        <f t="shared" si="39"/>
        <v>0</v>
      </c>
      <c r="AB7" s="51">
        <f>VLOOKUP(A7,'Giao CT'!$D$6:$S$20,9,0)</f>
        <v>30</v>
      </c>
      <c r="AC7" s="13">
        <f>VLOOKUP(A7,GBOC!$E$7:$DG$29,$B$27,0)</f>
        <v>13</v>
      </c>
      <c r="AD7" s="14">
        <f t="shared" si="40"/>
        <v>0.43333333333333335</v>
      </c>
      <c r="AE7" s="46">
        <f t="shared" si="41"/>
        <v>17</v>
      </c>
      <c r="AF7" s="51">
        <f>VLOOKUP(A7,'Giao CT'!$D$6:$S$20,10,0)</f>
        <v>9</v>
      </c>
      <c r="AG7" s="13">
        <f>VLOOKUP(A7,GBOC!$E$7:$DG$29,$B$28,0)</f>
        <v>10</v>
      </c>
      <c r="AH7" s="14">
        <f t="shared" si="42"/>
        <v>1.1111111111111112</v>
      </c>
      <c r="AI7" s="46">
        <f t="shared" si="43"/>
        <v>-1</v>
      </c>
      <c r="AJ7" s="51">
        <f>VLOOKUP(A7,'Giao CT'!$D$6:$S$20,11,0)</f>
        <v>4</v>
      </c>
      <c r="AK7" s="13">
        <f>VLOOKUP(B7,'TH NV'!$B$5:$BG$18,36,0)</f>
        <v>4</v>
      </c>
      <c r="AL7" s="14">
        <f t="shared" si="44"/>
        <v>1</v>
      </c>
      <c r="AM7" s="61">
        <f t="shared" si="45"/>
        <v>1</v>
      </c>
      <c r="AN7" s="51">
        <f>VLOOKUP(A7,'Giao CT'!$D$6:$S$20,12,0)</f>
        <v>5</v>
      </c>
      <c r="AO7" s="13">
        <f>VLOOKUP(A7,GBOC!$E$7:$DG$29,$B$30,0)</f>
        <v>6</v>
      </c>
      <c r="AP7" s="14">
        <f t="shared" si="46"/>
        <v>0.8</v>
      </c>
      <c r="AQ7" s="61">
        <f t="shared" si="47"/>
        <v>0.8</v>
      </c>
      <c r="AR7" s="33">
        <v>0.97</v>
      </c>
      <c r="AS7" s="112">
        <f>(VLOOKUP(B7,cuoc!$B$7:$P$27,14,0))*1%</f>
        <v>0.9325</v>
      </c>
      <c r="AT7" s="14">
        <f t="shared" si="48"/>
        <v>0</v>
      </c>
      <c r="AU7" s="48">
        <f t="shared" si="49"/>
        <v>3.7499999999999978E-2</v>
      </c>
      <c r="AV7" s="51">
        <f>VLOOKUP(A7,'Giao CT'!$D$6:$S$20,14,0)</f>
        <v>2</v>
      </c>
      <c r="AW7" s="13">
        <f>VLOOKUP(A7,GBOC!$E$7:$DG$29,$B$32,0)</f>
        <v>0</v>
      </c>
      <c r="AX7" s="14">
        <f t="shared" si="50"/>
        <v>0</v>
      </c>
      <c r="AY7" s="48">
        <f t="shared" si="51"/>
        <v>2</v>
      </c>
      <c r="AZ7" s="51">
        <f>VLOOKUP(A7,'Giao CT'!$D$6:$S$20,15,0)</f>
        <v>1</v>
      </c>
      <c r="BA7" s="13">
        <f>VLOOKUP(A7,GBOC!$E$7:$DG$29,$B$33,0)</f>
        <v>1</v>
      </c>
      <c r="BB7" s="14">
        <f t="shared" si="52"/>
        <v>1</v>
      </c>
      <c r="BC7" s="48">
        <f t="shared" si="53"/>
        <v>0</v>
      </c>
      <c r="BD7" s="51">
        <f>VLOOKUP(A7,'Giao CT'!$D$6:$S$20,16,0)</f>
        <v>0</v>
      </c>
      <c r="BE7" s="13">
        <f>VLOOKUP(A7,GBOC!$E$7:$DG$29,$B$34,0)</f>
        <v>0</v>
      </c>
      <c r="BF7" s="14">
        <f t="shared" si="54"/>
        <v>1</v>
      </c>
      <c r="BG7" s="48">
        <f t="shared" si="55"/>
        <v>0</v>
      </c>
    </row>
    <row r="8" spans="1:59" ht="15.4" x14ac:dyDescent="0.45">
      <c r="A8" s="121" t="s">
        <v>117</v>
      </c>
      <c r="B8" s="121" t="s">
        <v>116</v>
      </c>
      <c r="C8" s="121" t="s">
        <v>128</v>
      </c>
      <c r="D8" s="123">
        <f>VLOOKUP(A8,'Giao CT'!$D$6:$S$20,3,0)</f>
        <v>8</v>
      </c>
      <c r="E8" s="58">
        <f>VLOOKUP(A8,GBOC!$E$7:$DG$29,$B$21,0)</f>
        <v>8</v>
      </c>
      <c r="F8" s="14">
        <f t="shared" si="28"/>
        <v>1</v>
      </c>
      <c r="G8" s="46">
        <f t="shared" si="29"/>
        <v>0</v>
      </c>
      <c r="H8" s="123">
        <f>VLOOKUP(A8,'Giao CT'!$D$6:$S$20,4,0)</f>
        <v>4</v>
      </c>
      <c r="I8" s="13">
        <f>VLOOKUP(A8,GBOC!$E$7:$DG$29,$B$22,0)</f>
        <v>6</v>
      </c>
      <c r="J8" s="14">
        <f t="shared" si="30"/>
        <v>1.5</v>
      </c>
      <c r="K8" s="46">
        <f t="shared" si="31"/>
        <v>-2</v>
      </c>
      <c r="L8" s="123">
        <f>VLOOKUP(A8,'Giao CT'!$D$6:$S$20,5,0)</f>
        <v>5</v>
      </c>
      <c r="M8" s="58">
        <f>VLOOKUP(A8,GBOC!$E$7:$DG$29,$B$23,0)</f>
        <v>3</v>
      </c>
      <c r="N8" s="14">
        <f t="shared" si="32"/>
        <v>0.6</v>
      </c>
      <c r="O8" s="46">
        <f t="shared" si="33"/>
        <v>2</v>
      </c>
      <c r="P8" s="52">
        <f>VLOOKUP(A8,'Giao CT'!$D$6:$S$20,6,0)</f>
        <v>5</v>
      </c>
      <c r="Q8" s="58">
        <f>VLOOKUP(A8,GBOC!$E$7:$DG$29,$B$24,0)</f>
        <v>4</v>
      </c>
      <c r="R8" s="14">
        <f t="shared" si="34"/>
        <v>0.8</v>
      </c>
      <c r="S8" s="46">
        <f t="shared" si="35"/>
        <v>1</v>
      </c>
      <c r="T8" s="52">
        <f>VLOOKUP(A8,'Giao CT'!$D$6:$S$20,7,0)</f>
        <v>4</v>
      </c>
      <c r="U8" s="13">
        <f>VLOOKUP(A8,GBOC!$E$7:$DG$29,$B$25,0)</f>
        <v>4</v>
      </c>
      <c r="V8" s="14">
        <f t="shared" si="36"/>
        <v>1</v>
      </c>
      <c r="W8" s="44">
        <f t="shared" si="37"/>
        <v>0</v>
      </c>
      <c r="X8" s="52">
        <f>VLOOKUP(A8,'Giao CT'!$D$6:$S$20,8,0)</f>
        <v>1</v>
      </c>
      <c r="Y8" s="13">
        <f>VLOOKUP(A8,GBOC!$E$7:$DG$29,$B$26,0)</f>
        <v>2</v>
      </c>
      <c r="Z8" s="14">
        <f t="shared" si="38"/>
        <v>2</v>
      </c>
      <c r="AA8" s="46">
        <f t="shared" si="39"/>
        <v>-1</v>
      </c>
      <c r="AB8" s="51">
        <f>VLOOKUP(A8,'Giao CT'!$D$6:$S$20,9,0)</f>
        <v>30</v>
      </c>
      <c r="AC8" s="13">
        <f>VLOOKUP(A8,GBOC!$E$7:$DG$29,$B$27,0)</f>
        <v>73</v>
      </c>
      <c r="AD8" s="14">
        <f t="shared" si="40"/>
        <v>2.4333333333333331</v>
      </c>
      <c r="AE8" s="46">
        <f t="shared" si="41"/>
        <v>-43</v>
      </c>
      <c r="AF8" s="51">
        <f>VLOOKUP(A8,'Giao CT'!$D$6:$S$20,10,0)</f>
        <v>9</v>
      </c>
      <c r="AG8" s="13">
        <f>VLOOKUP(A8,GBOC!$E$7:$DG$29,$B$28,0)</f>
        <v>12</v>
      </c>
      <c r="AH8" s="14">
        <f t="shared" si="42"/>
        <v>1.3333333333333333</v>
      </c>
      <c r="AI8" s="46">
        <f t="shared" si="43"/>
        <v>-3</v>
      </c>
      <c r="AJ8" s="51">
        <f>VLOOKUP(A8,'Giao CT'!$D$6:$S$20,11,0)</f>
        <v>4</v>
      </c>
      <c r="AK8" s="13">
        <f>VLOOKUP(B8,'TH NV'!$B$5:$BG$18,36,0)</f>
        <v>4</v>
      </c>
      <c r="AL8" s="14">
        <f t="shared" si="44"/>
        <v>1</v>
      </c>
      <c r="AM8" s="61">
        <f t="shared" si="45"/>
        <v>1</v>
      </c>
      <c r="AN8" s="51">
        <f>VLOOKUP(A8,'Giao CT'!$D$6:$S$20,12,0)</f>
        <v>5</v>
      </c>
      <c r="AO8" s="13">
        <f>VLOOKUP(A8,GBOC!$E$7:$DG$29,$B$30,0)</f>
        <v>3</v>
      </c>
      <c r="AP8" s="14">
        <f t="shared" si="46"/>
        <v>1.4</v>
      </c>
      <c r="AQ8" s="61">
        <f t="shared" si="47"/>
        <v>1.4</v>
      </c>
      <c r="AR8" s="33">
        <v>0.97</v>
      </c>
      <c r="AS8" s="112">
        <f>(VLOOKUP(B8,cuoc!$B$7:$P$27,14,0))*1%</f>
        <v>0.95849999999999991</v>
      </c>
      <c r="AT8" s="14">
        <f t="shared" si="48"/>
        <v>0.8</v>
      </c>
      <c r="AU8" s="48">
        <f t="shared" si="49"/>
        <v>1.1500000000000066E-2</v>
      </c>
      <c r="AV8" s="51">
        <f>VLOOKUP(A8,'Giao CT'!$D$6:$S$20,14,0)</f>
        <v>3</v>
      </c>
      <c r="AW8" s="13">
        <f>VLOOKUP(A8,GBOC!$E$7:$DG$29,$B$32,0)</f>
        <v>0</v>
      </c>
      <c r="AX8" s="14">
        <f t="shared" si="50"/>
        <v>0</v>
      </c>
      <c r="AY8" s="48">
        <f t="shared" si="51"/>
        <v>3</v>
      </c>
      <c r="AZ8" s="51">
        <f>VLOOKUP(A8,'Giao CT'!$D$6:$S$20,15,0)</f>
        <v>1</v>
      </c>
      <c r="BA8" s="13">
        <f>VLOOKUP(A8,GBOC!$E$7:$DG$29,$B$33,0)</f>
        <v>2</v>
      </c>
      <c r="BB8" s="14">
        <f t="shared" si="52"/>
        <v>2</v>
      </c>
      <c r="BC8" s="48">
        <f t="shared" si="53"/>
        <v>-1</v>
      </c>
      <c r="BD8" s="51">
        <f>VLOOKUP(A8,'Giao CT'!$D$6:$S$20,16,0)</f>
        <v>0</v>
      </c>
      <c r="BE8" s="13">
        <f>VLOOKUP(A8,GBOC!$E$7:$DG$29,$B$34,0)</f>
        <v>2</v>
      </c>
      <c r="BF8" s="14">
        <f t="shared" si="54"/>
        <v>1</v>
      </c>
      <c r="BG8" s="48">
        <f t="shared" si="55"/>
        <v>-2</v>
      </c>
    </row>
    <row r="9" spans="1:59" s="171" customFormat="1" ht="15.4" x14ac:dyDescent="0.45">
      <c r="A9" s="160"/>
      <c r="B9" s="160"/>
      <c r="C9" s="160"/>
      <c r="D9" s="161"/>
      <c r="E9" s="162"/>
      <c r="F9" s="163"/>
      <c r="G9" s="164"/>
      <c r="H9" s="161"/>
      <c r="I9" s="165"/>
      <c r="J9" s="163"/>
      <c r="K9" s="164"/>
      <c r="L9" s="161"/>
      <c r="M9" s="162"/>
      <c r="N9" s="163"/>
      <c r="O9" s="164"/>
      <c r="P9" s="166"/>
      <c r="Q9" s="162"/>
      <c r="R9" s="163"/>
      <c r="S9" s="164"/>
      <c r="T9" s="166"/>
      <c r="U9" s="165"/>
      <c r="V9" s="163"/>
      <c r="W9" s="164"/>
      <c r="X9" s="166"/>
      <c r="Y9" s="165"/>
      <c r="Z9" s="163"/>
      <c r="AA9" s="164"/>
      <c r="AB9" s="166"/>
      <c r="AC9" s="165"/>
      <c r="AD9" s="163"/>
      <c r="AE9" s="164"/>
      <c r="AF9" s="166"/>
      <c r="AG9" s="165"/>
      <c r="AH9" s="163"/>
      <c r="AI9" s="164"/>
      <c r="AJ9" s="166"/>
      <c r="AK9" s="165"/>
      <c r="AL9" s="163"/>
      <c r="AM9" s="167"/>
      <c r="AN9" s="166"/>
      <c r="AO9" s="165"/>
      <c r="AP9" s="163"/>
      <c r="AQ9" s="167"/>
      <c r="AR9" s="168"/>
      <c r="AS9" s="169"/>
      <c r="AT9" s="163"/>
      <c r="AU9" s="170"/>
      <c r="AV9" s="166"/>
      <c r="AW9" s="165"/>
      <c r="AX9" s="163"/>
      <c r="AY9" s="170"/>
      <c r="AZ9" s="166"/>
      <c r="BA9" s="165"/>
      <c r="BB9" s="163"/>
      <c r="BC9" s="170"/>
      <c r="BD9" s="166"/>
      <c r="BE9" s="165"/>
      <c r="BF9" s="163"/>
      <c r="BG9" s="170"/>
    </row>
    <row r="10" spans="1:59" ht="15.4" x14ac:dyDescent="0.45">
      <c r="A10" s="122" t="s">
        <v>72</v>
      </c>
      <c r="B10" s="122" t="s">
        <v>71</v>
      </c>
      <c r="C10" s="122" t="s">
        <v>129</v>
      </c>
      <c r="D10" s="123">
        <f>VLOOKUP(A10,'Giao CT'!$D$6:$S$20,3,0)</f>
        <v>7</v>
      </c>
      <c r="E10" s="58">
        <f>VLOOKUP(A10,GBOC!$E$7:$DG$29,$B$21,0)</f>
        <v>13</v>
      </c>
      <c r="F10" s="14">
        <f t="shared" si="28"/>
        <v>1.8571428571428572</v>
      </c>
      <c r="G10" s="46">
        <f t="shared" si="29"/>
        <v>-6</v>
      </c>
      <c r="H10" s="123">
        <f>VLOOKUP(A10,'Giao CT'!$D$6:$S$20,4,0)</f>
        <v>4</v>
      </c>
      <c r="I10" s="13">
        <f>VLOOKUP(A10,GBOC!$E$7:$DG$29,$B$22,0)</f>
        <v>5</v>
      </c>
      <c r="J10" s="14">
        <f t="shared" si="30"/>
        <v>1.25</v>
      </c>
      <c r="K10" s="46">
        <f t="shared" si="31"/>
        <v>-1</v>
      </c>
      <c r="L10" s="123">
        <f>VLOOKUP(A10,'Giao CT'!$D$6:$S$20,5,0)</f>
        <v>5</v>
      </c>
      <c r="M10" s="58">
        <f>VLOOKUP(A10,GBOC!$E$7:$DG$29,$B$23,0)</f>
        <v>5</v>
      </c>
      <c r="N10" s="14">
        <f t="shared" si="32"/>
        <v>1</v>
      </c>
      <c r="O10" s="46">
        <f t="shared" si="33"/>
        <v>0</v>
      </c>
      <c r="P10" s="52">
        <f>VLOOKUP(A10,'Giao CT'!$D$6:$S$20,6,0)</f>
        <v>4</v>
      </c>
      <c r="Q10" s="58">
        <f>VLOOKUP(A10,GBOC!$E$7:$DG$29,$B$24,0)</f>
        <v>7</v>
      </c>
      <c r="R10" s="14">
        <f t="shared" si="34"/>
        <v>1.75</v>
      </c>
      <c r="S10" s="46">
        <f t="shared" si="35"/>
        <v>-3</v>
      </c>
      <c r="T10" s="52">
        <f>VLOOKUP(A10,'Giao CT'!$D$6:$S$20,7,0)</f>
        <v>4</v>
      </c>
      <c r="U10" s="13">
        <f>VLOOKUP(A10,GBOC!$E$7:$DG$29,$B$25,0)</f>
        <v>4</v>
      </c>
      <c r="V10" s="14">
        <f t="shared" si="36"/>
        <v>1</v>
      </c>
      <c r="W10" s="44">
        <f t="shared" si="37"/>
        <v>0</v>
      </c>
      <c r="X10" s="52">
        <f>VLOOKUP(A10,'Giao CT'!$D$6:$S$20,8,0)</f>
        <v>1</v>
      </c>
      <c r="Y10" s="13">
        <f>VLOOKUP(A10,GBOC!$E$7:$DG$29,$B$26,0)</f>
        <v>6</v>
      </c>
      <c r="Z10" s="14">
        <f t="shared" si="38"/>
        <v>6</v>
      </c>
      <c r="AA10" s="46">
        <f t="shared" si="39"/>
        <v>-5</v>
      </c>
      <c r="AB10" s="51">
        <f>VLOOKUP(A10,'Giao CT'!$D$6:$S$20,9,0)</f>
        <v>30</v>
      </c>
      <c r="AC10" s="13">
        <f>VLOOKUP(A10,GBOC!$E$7:$DG$29,$B$27,0)</f>
        <v>71</v>
      </c>
      <c r="AD10" s="14">
        <f t="shared" si="40"/>
        <v>2.3666666666666667</v>
      </c>
      <c r="AE10" s="46">
        <f t="shared" si="41"/>
        <v>-41</v>
      </c>
      <c r="AF10" s="51">
        <f>VLOOKUP(A10,'Giao CT'!$D$6:$S$20,10,0)</f>
        <v>8</v>
      </c>
      <c r="AG10" s="13">
        <f>VLOOKUP(A10,GBOC!$E$7:$DG$29,$B$28,0)</f>
        <v>10</v>
      </c>
      <c r="AH10" s="14">
        <f t="shared" si="42"/>
        <v>1.25</v>
      </c>
      <c r="AI10" s="46">
        <f t="shared" si="43"/>
        <v>-2</v>
      </c>
      <c r="AJ10" s="51">
        <f>VLOOKUP(A10,'Giao CT'!$D$6:$S$20,11,0)</f>
        <v>4</v>
      </c>
      <c r="AK10" s="13">
        <f>VLOOKUP(B10,'TH NV'!$B$5:$BG$18,36,0)</f>
        <v>9</v>
      </c>
      <c r="AL10" s="14">
        <f t="shared" si="44"/>
        <v>-0.25</v>
      </c>
      <c r="AM10" s="61">
        <f t="shared" si="45"/>
        <v>0</v>
      </c>
      <c r="AN10" s="51">
        <f>VLOOKUP(A10,'Giao CT'!$D$6:$S$20,12,0)</f>
        <v>5</v>
      </c>
      <c r="AO10" s="13">
        <f>VLOOKUP(A10,GBOC!$E$7:$DG$29,$B$30,0)</f>
        <v>5</v>
      </c>
      <c r="AP10" s="14">
        <f t="shared" si="46"/>
        <v>1</v>
      </c>
      <c r="AQ10" s="61">
        <f t="shared" si="47"/>
        <v>1</v>
      </c>
      <c r="AR10" s="33">
        <v>0.97</v>
      </c>
      <c r="AS10" s="112">
        <f>(VLOOKUP(B10,cuoc!$B$7:$P$27,14,0))*1%</f>
        <v>0.96050000000000002</v>
      </c>
      <c r="AT10" s="14">
        <f t="shared" si="48"/>
        <v>0.8</v>
      </c>
      <c r="AU10" s="48">
        <f t="shared" si="49"/>
        <v>9.4999999999999529E-3</v>
      </c>
      <c r="AV10" s="51">
        <f>VLOOKUP(A10,'Giao CT'!$D$6:$S$20,14,0)</f>
        <v>3</v>
      </c>
      <c r="AW10" s="13">
        <f>VLOOKUP(A10,GBOC!$E$7:$DG$29,$B$32,0)</f>
        <v>0</v>
      </c>
      <c r="AX10" s="14">
        <f t="shared" si="50"/>
        <v>0</v>
      </c>
      <c r="AY10" s="48">
        <f t="shared" si="51"/>
        <v>3</v>
      </c>
      <c r="AZ10" s="51">
        <f>VLOOKUP(A10,'Giao CT'!$D$6:$S$20,15,0)</f>
        <v>1</v>
      </c>
      <c r="BA10" s="13">
        <f>VLOOKUP(A10,GBOC!$E$7:$DG$29,$B$33,0)</f>
        <v>1</v>
      </c>
      <c r="BB10" s="14">
        <f t="shared" si="52"/>
        <v>1</v>
      </c>
      <c r="BC10" s="48">
        <f t="shared" si="53"/>
        <v>0</v>
      </c>
      <c r="BD10" s="51">
        <f>VLOOKUP(A10,'Giao CT'!$D$6:$S$20,16,0)</f>
        <v>1</v>
      </c>
      <c r="BE10" s="13">
        <f>VLOOKUP(A10,GBOC!$E$7:$DG$29,$B$34,0)</f>
        <v>0</v>
      </c>
      <c r="BF10" s="14">
        <f t="shared" si="54"/>
        <v>0</v>
      </c>
      <c r="BG10" s="48">
        <f t="shared" si="55"/>
        <v>1</v>
      </c>
    </row>
    <row r="11" spans="1:59" ht="15.4" x14ac:dyDescent="0.45">
      <c r="A11" s="122" t="s">
        <v>75</v>
      </c>
      <c r="B11" s="122" t="s">
        <v>74</v>
      </c>
      <c r="C11" s="122" t="s">
        <v>129</v>
      </c>
      <c r="D11" s="123">
        <f>VLOOKUP(A11,'Giao CT'!$D$6:$S$20,3,0)</f>
        <v>7</v>
      </c>
      <c r="E11" s="58">
        <f>VLOOKUP(A11,GBOC!$E$7:$DG$29,$B$21,0)</f>
        <v>12</v>
      </c>
      <c r="F11" s="14">
        <f t="shared" si="28"/>
        <v>1.7142857142857142</v>
      </c>
      <c r="G11" s="46">
        <f t="shared" si="29"/>
        <v>-5</v>
      </c>
      <c r="H11" s="123">
        <f>VLOOKUP(A11,'Giao CT'!$D$6:$S$20,4,0)</f>
        <v>4</v>
      </c>
      <c r="I11" s="13">
        <f>VLOOKUP(A11,GBOC!$E$7:$DG$29,$B$22,0)</f>
        <v>4</v>
      </c>
      <c r="J11" s="14">
        <f t="shared" si="30"/>
        <v>1</v>
      </c>
      <c r="K11" s="46">
        <f t="shared" si="31"/>
        <v>0</v>
      </c>
      <c r="L11" s="123">
        <f>VLOOKUP(A11,'Giao CT'!$D$6:$S$20,5,0)</f>
        <v>5</v>
      </c>
      <c r="M11" s="58">
        <f>VLOOKUP(A11,GBOC!$E$7:$DG$29,$B$23,0)</f>
        <v>5</v>
      </c>
      <c r="N11" s="14">
        <f t="shared" si="32"/>
        <v>1</v>
      </c>
      <c r="O11" s="46">
        <f t="shared" si="33"/>
        <v>0</v>
      </c>
      <c r="P11" s="52">
        <f>VLOOKUP(A11,'Giao CT'!$D$6:$S$20,6,0)</f>
        <v>4</v>
      </c>
      <c r="Q11" s="58">
        <f>VLOOKUP(A11,GBOC!$E$7:$DG$29,$B$24,0)</f>
        <v>4</v>
      </c>
      <c r="R11" s="14">
        <f t="shared" si="34"/>
        <v>1</v>
      </c>
      <c r="S11" s="46">
        <f t="shared" si="35"/>
        <v>0</v>
      </c>
      <c r="T11" s="52">
        <f>VLOOKUP(A11,'Giao CT'!$D$6:$S$20,7,0)</f>
        <v>3</v>
      </c>
      <c r="U11" s="13">
        <f>VLOOKUP(A11,GBOC!$E$7:$DG$29,$B$25,0)</f>
        <v>5</v>
      </c>
      <c r="V11" s="14">
        <f t="shared" si="36"/>
        <v>1.6666666666666667</v>
      </c>
      <c r="W11" s="44">
        <f t="shared" si="37"/>
        <v>-2</v>
      </c>
      <c r="X11" s="52">
        <f>VLOOKUP(A11,'Giao CT'!$D$6:$S$20,8,0)</f>
        <v>1</v>
      </c>
      <c r="Y11" s="13">
        <f>VLOOKUP(A11,GBOC!$E$7:$DG$29,$B$26,0)</f>
        <v>3</v>
      </c>
      <c r="Z11" s="14">
        <f t="shared" si="38"/>
        <v>3</v>
      </c>
      <c r="AA11" s="46">
        <f t="shared" si="39"/>
        <v>-2</v>
      </c>
      <c r="AB11" s="51">
        <f>VLOOKUP(A11,'Giao CT'!$D$6:$S$20,9,0)</f>
        <v>30</v>
      </c>
      <c r="AC11" s="13">
        <f>VLOOKUP(A11,GBOC!$E$7:$DG$29,$B$27,0)</f>
        <v>30</v>
      </c>
      <c r="AD11" s="14">
        <f t="shared" si="40"/>
        <v>1</v>
      </c>
      <c r="AE11" s="46">
        <f t="shared" si="41"/>
        <v>0</v>
      </c>
      <c r="AF11" s="51">
        <f>VLOOKUP(A11,'Giao CT'!$D$6:$S$20,10,0)</f>
        <v>8</v>
      </c>
      <c r="AG11" s="13">
        <f>VLOOKUP(A11,GBOC!$E$7:$DG$29,$B$28,0)</f>
        <v>12</v>
      </c>
      <c r="AH11" s="14">
        <f t="shared" si="42"/>
        <v>1.5</v>
      </c>
      <c r="AI11" s="46">
        <f t="shared" si="43"/>
        <v>-4</v>
      </c>
      <c r="AJ11" s="51">
        <f>VLOOKUP(A11,'Giao CT'!$D$6:$S$20,11,0)</f>
        <v>4</v>
      </c>
      <c r="AK11" s="13">
        <f>VLOOKUP(B11,'TH NV'!$B$5:$BG$18,36,0)</f>
        <v>0</v>
      </c>
      <c r="AL11" s="14">
        <f t="shared" si="44"/>
        <v>2</v>
      </c>
      <c r="AM11" s="61">
        <f t="shared" si="45"/>
        <v>2</v>
      </c>
      <c r="AN11" s="51">
        <f>VLOOKUP(A11,'Giao CT'!$D$6:$S$20,12,0)</f>
        <v>5</v>
      </c>
      <c r="AO11" s="13">
        <f>VLOOKUP(A11,GBOC!$E$7:$DG$29,$B$30,0)</f>
        <v>3</v>
      </c>
      <c r="AP11" s="14">
        <f t="shared" si="46"/>
        <v>1.4</v>
      </c>
      <c r="AQ11" s="61">
        <f t="shared" si="47"/>
        <v>1.4</v>
      </c>
      <c r="AR11" s="33">
        <v>0.97</v>
      </c>
      <c r="AS11" s="112">
        <f>(VLOOKUP(B11,cuoc!$B$7:$P$27,14,0))*1%</f>
        <v>0.96730000000000005</v>
      </c>
      <c r="AT11" s="14">
        <f t="shared" si="48"/>
        <v>0.8</v>
      </c>
      <c r="AU11" s="48">
        <f t="shared" si="49"/>
        <v>2.6999999999999247E-3</v>
      </c>
      <c r="AV11" s="51">
        <f>VLOOKUP(A11,'Giao CT'!$D$6:$S$20,14,0)</f>
        <v>3</v>
      </c>
      <c r="AW11" s="13">
        <f>VLOOKUP(A11,GBOC!$E$7:$DG$29,$B$32,0)</f>
        <v>1</v>
      </c>
      <c r="AX11" s="14">
        <f t="shared" si="50"/>
        <v>0.33333333333333331</v>
      </c>
      <c r="AY11" s="48">
        <f t="shared" si="51"/>
        <v>2</v>
      </c>
      <c r="AZ11" s="51">
        <f>VLOOKUP(A11,'Giao CT'!$D$6:$S$20,15,0)</f>
        <v>1</v>
      </c>
      <c r="BA11" s="13">
        <f>VLOOKUP(A11,GBOC!$E$7:$DG$29,$B$33,0)</f>
        <v>1</v>
      </c>
      <c r="BB11" s="14">
        <f t="shared" si="52"/>
        <v>1</v>
      </c>
      <c r="BC11" s="48">
        <f t="shared" si="53"/>
        <v>0</v>
      </c>
      <c r="BD11" s="51">
        <f>VLOOKUP(A11,'Giao CT'!$D$6:$S$20,16,0)</f>
        <v>0</v>
      </c>
      <c r="BE11" s="13">
        <f>VLOOKUP(A11,GBOC!$E$7:$DG$29,$B$34,0)</f>
        <v>0</v>
      </c>
      <c r="BF11" s="14">
        <f t="shared" si="54"/>
        <v>1</v>
      </c>
      <c r="BG11" s="48">
        <f t="shared" si="55"/>
        <v>0</v>
      </c>
    </row>
    <row r="12" spans="1:59" ht="15.4" x14ac:dyDescent="0.45">
      <c r="A12" s="122" t="s">
        <v>78</v>
      </c>
      <c r="B12" s="122" t="s">
        <v>77</v>
      </c>
      <c r="C12" s="122" t="s">
        <v>129</v>
      </c>
      <c r="D12" s="123">
        <f>VLOOKUP(A12,'Giao CT'!$D$6:$S$20,3,0)</f>
        <v>7</v>
      </c>
      <c r="E12" s="58">
        <f>VLOOKUP(A12,GBOC!$E$7:$DG$29,$B$21,0)</f>
        <v>5</v>
      </c>
      <c r="F12" s="14">
        <f t="shared" si="28"/>
        <v>0.7142857142857143</v>
      </c>
      <c r="G12" s="46">
        <f t="shared" si="29"/>
        <v>2</v>
      </c>
      <c r="H12" s="123">
        <f>VLOOKUP(A12,'Giao CT'!$D$6:$S$20,4,0)</f>
        <v>3</v>
      </c>
      <c r="I12" s="13">
        <f>VLOOKUP(A12,GBOC!$E$7:$DG$29,$B$22,0)</f>
        <v>4</v>
      </c>
      <c r="J12" s="14">
        <f t="shared" si="30"/>
        <v>1.3333333333333333</v>
      </c>
      <c r="K12" s="46">
        <f t="shared" si="31"/>
        <v>-1</v>
      </c>
      <c r="L12" s="123">
        <f>VLOOKUP(A12,'Giao CT'!$D$6:$S$20,5,0)</f>
        <v>4</v>
      </c>
      <c r="M12" s="58">
        <f>VLOOKUP(A12,GBOC!$E$7:$DG$29,$B$23,0)</f>
        <v>2</v>
      </c>
      <c r="N12" s="14">
        <f t="shared" si="32"/>
        <v>0.5</v>
      </c>
      <c r="O12" s="46">
        <f t="shared" si="33"/>
        <v>2</v>
      </c>
      <c r="P12" s="52">
        <f>VLOOKUP(A12,'Giao CT'!$D$6:$S$20,6,0)</f>
        <v>4</v>
      </c>
      <c r="Q12" s="58">
        <f>VLOOKUP(A12,GBOC!$E$7:$DG$29,$B$24,0)</f>
        <v>3</v>
      </c>
      <c r="R12" s="14">
        <f t="shared" si="34"/>
        <v>0.75</v>
      </c>
      <c r="S12" s="46">
        <f t="shared" si="35"/>
        <v>1</v>
      </c>
      <c r="T12" s="52">
        <f>VLOOKUP(A12,'Giao CT'!$D$6:$S$20,7,0)</f>
        <v>3</v>
      </c>
      <c r="U12" s="13">
        <f>VLOOKUP(A12,GBOC!$E$7:$DG$29,$B$25,0)</f>
        <v>0</v>
      </c>
      <c r="V12" s="14">
        <f t="shared" si="36"/>
        <v>0</v>
      </c>
      <c r="W12" s="44">
        <f t="shared" si="37"/>
        <v>3</v>
      </c>
      <c r="X12" s="52">
        <f>VLOOKUP(A12,'Giao CT'!$D$6:$S$20,8,0)</f>
        <v>1</v>
      </c>
      <c r="Y12" s="13">
        <f>VLOOKUP(A12,GBOC!$E$7:$DG$29,$B$26,0)</f>
        <v>0</v>
      </c>
      <c r="Z12" s="14">
        <f t="shared" si="38"/>
        <v>0</v>
      </c>
      <c r="AA12" s="46">
        <f t="shared" si="39"/>
        <v>1</v>
      </c>
      <c r="AB12" s="51">
        <f>VLOOKUP(A12,'Giao CT'!$D$6:$S$20,9,0)</f>
        <v>30</v>
      </c>
      <c r="AC12" s="13">
        <f>VLOOKUP(A12,GBOC!$E$7:$DG$29,$B$27,0)</f>
        <v>9</v>
      </c>
      <c r="AD12" s="14">
        <f t="shared" si="40"/>
        <v>0.3</v>
      </c>
      <c r="AE12" s="46">
        <f t="shared" si="41"/>
        <v>21</v>
      </c>
      <c r="AF12" s="51">
        <f>VLOOKUP(A12,'Giao CT'!$D$6:$S$20,10,0)</f>
        <v>8</v>
      </c>
      <c r="AG12" s="13">
        <f>VLOOKUP(A12,GBOC!$E$7:$DG$29,$B$28,0)</f>
        <v>0</v>
      </c>
      <c r="AH12" s="14">
        <f t="shared" si="42"/>
        <v>0</v>
      </c>
      <c r="AI12" s="46">
        <f t="shared" si="43"/>
        <v>8</v>
      </c>
      <c r="AJ12" s="51">
        <f>VLOOKUP(A12,'Giao CT'!$D$6:$S$20,11,0)</f>
        <v>4</v>
      </c>
      <c r="AK12" s="13">
        <f>VLOOKUP(B12,'TH NV'!$B$5:$BG$18,36,0)</f>
        <v>5</v>
      </c>
      <c r="AL12" s="14">
        <f t="shared" si="44"/>
        <v>0.75</v>
      </c>
      <c r="AM12" s="61">
        <f t="shared" si="45"/>
        <v>0.75</v>
      </c>
      <c r="AN12" s="51">
        <f>VLOOKUP(A12,'Giao CT'!$D$6:$S$20,12,0)</f>
        <v>3</v>
      </c>
      <c r="AO12" s="13">
        <f>VLOOKUP(A12,GBOC!$E$7:$DG$29,$B$30,0)</f>
        <v>1</v>
      </c>
      <c r="AP12" s="14">
        <f t="shared" si="46"/>
        <v>1.6666666666666667</v>
      </c>
      <c r="AQ12" s="61">
        <f t="shared" si="47"/>
        <v>1.6666666666666667</v>
      </c>
      <c r="AR12" s="33">
        <v>0.97</v>
      </c>
      <c r="AS12" s="112">
        <f>(VLOOKUP(B12,cuoc!$B$7:$P$27,14,0))*1%</f>
        <v>0.92980000000000007</v>
      </c>
      <c r="AT12" s="14">
        <f t="shared" si="48"/>
        <v>0</v>
      </c>
      <c r="AU12" s="48">
        <f t="shared" si="49"/>
        <v>4.0199999999999902E-2</v>
      </c>
      <c r="AV12" s="51">
        <f>VLOOKUP(A12,'Giao CT'!$D$6:$S$20,14,0)</f>
        <v>1</v>
      </c>
      <c r="AW12" s="13">
        <f>VLOOKUP(A12,GBOC!$E$7:$DG$29,$B$32,0)</f>
        <v>0</v>
      </c>
      <c r="AX12" s="14">
        <f t="shared" si="50"/>
        <v>0</v>
      </c>
      <c r="AY12" s="48">
        <f t="shared" si="51"/>
        <v>1</v>
      </c>
      <c r="AZ12" s="51">
        <f>VLOOKUP(A12,'Giao CT'!$D$6:$S$20,15,0)</f>
        <v>1</v>
      </c>
      <c r="BA12" s="13">
        <f>VLOOKUP(A12,GBOC!$E$7:$DG$29,$B$33,0)</f>
        <v>0</v>
      </c>
      <c r="BB12" s="14">
        <f t="shared" si="52"/>
        <v>0</v>
      </c>
      <c r="BC12" s="48">
        <f t="shared" si="53"/>
        <v>1</v>
      </c>
      <c r="BD12" s="51">
        <f>VLOOKUP(A12,'Giao CT'!$D$6:$S$20,16,0)</f>
        <v>0</v>
      </c>
      <c r="BE12" s="13">
        <f>VLOOKUP(A12,GBOC!$E$7:$DG$29,$B$34,0)</f>
        <v>0</v>
      </c>
      <c r="BF12" s="14">
        <f t="shared" si="54"/>
        <v>1</v>
      </c>
      <c r="BG12" s="48">
        <f t="shared" si="55"/>
        <v>0</v>
      </c>
    </row>
    <row r="13" spans="1:59" ht="15.4" x14ac:dyDescent="0.45">
      <c r="A13" s="122" t="s">
        <v>84</v>
      </c>
      <c r="B13" s="122" t="s">
        <v>83</v>
      </c>
      <c r="C13" s="122" t="s">
        <v>129</v>
      </c>
      <c r="D13" s="123">
        <f>VLOOKUP(A13,'Giao CT'!$D$6:$S$20,3,0)</f>
        <v>7</v>
      </c>
      <c r="E13" s="58">
        <f>VLOOKUP(A13,GBOC!$E$7:$DG$29,$B$21,0)</f>
        <v>7</v>
      </c>
      <c r="F13" s="14">
        <f t="shared" si="28"/>
        <v>1</v>
      </c>
      <c r="G13" s="46">
        <f t="shared" si="29"/>
        <v>0</v>
      </c>
      <c r="H13" s="123">
        <f>VLOOKUP(A13,'Giao CT'!$D$6:$S$20,4,0)</f>
        <v>3</v>
      </c>
      <c r="I13" s="13">
        <f>VLOOKUP(A13,GBOC!$E$7:$DG$29,$B$22,0)</f>
        <v>3</v>
      </c>
      <c r="J13" s="14">
        <f t="shared" si="30"/>
        <v>1</v>
      </c>
      <c r="K13" s="46">
        <f t="shared" si="31"/>
        <v>0</v>
      </c>
      <c r="L13" s="123">
        <f>VLOOKUP(A13,'Giao CT'!$D$6:$S$20,5,0)</f>
        <v>4</v>
      </c>
      <c r="M13" s="58">
        <f>VLOOKUP(A13,GBOC!$E$7:$DG$29,$B$23,0)</f>
        <v>4</v>
      </c>
      <c r="N13" s="14">
        <f t="shared" si="32"/>
        <v>1</v>
      </c>
      <c r="O13" s="46">
        <f t="shared" si="33"/>
        <v>0</v>
      </c>
      <c r="P13" s="52">
        <f>VLOOKUP(A13,'Giao CT'!$D$6:$S$20,6,0)</f>
        <v>4</v>
      </c>
      <c r="Q13" s="58">
        <f>VLOOKUP(A13,GBOC!$E$7:$DG$29,$B$24,0)</f>
        <v>2</v>
      </c>
      <c r="R13" s="14">
        <f t="shared" si="34"/>
        <v>0.5</v>
      </c>
      <c r="S13" s="46">
        <f t="shared" si="35"/>
        <v>2</v>
      </c>
      <c r="T13" s="52">
        <f>VLOOKUP(A13,'Giao CT'!$D$6:$S$20,7,0)</f>
        <v>3</v>
      </c>
      <c r="U13" s="13">
        <f>VLOOKUP(A13,GBOC!$E$7:$DG$29,$B$25,0)</f>
        <v>4</v>
      </c>
      <c r="V13" s="14">
        <f t="shared" si="36"/>
        <v>1.3333333333333333</v>
      </c>
      <c r="W13" s="44">
        <f t="shared" si="37"/>
        <v>-1</v>
      </c>
      <c r="X13" s="52">
        <f>VLOOKUP(A13,'Giao CT'!$D$6:$S$20,8,0)</f>
        <v>1</v>
      </c>
      <c r="Y13" s="13">
        <f>VLOOKUP(A13,GBOC!$E$7:$DG$29,$B$26,0)</f>
        <v>3</v>
      </c>
      <c r="Z13" s="14">
        <f t="shared" si="38"/>
        <v>3</v>
      </c>
      <c r="AA13" s="46">
        <f t="shared" si="39"/>
        <v>-2</v>
      </c>
      <c r="AB13" s="51">
        <f>VLOOKUP(A13,'Giao CT'!$D$6:$S$20,9,0)</f>
        <v>30</v>
      </c>
      <c r="AC13" s="13">
        <f>VLOOKUP(A13,GBOC!$E$7:$DG$29,$B$27,0)</f>
        <v>26</v>
      </c>
      <c r="AD13" s="14">
        <f t="shared" si="40"/>
        <v>0.8666666666666667</v>
      </c>
      <c r="AE13" s="46">
        <f t="shared" si="41"/>
        <v>4</v>
      </c>
      <c r="AF13" s="51">
        <f>VLOOKUP(A13,'Giao CT'!$D$6:$S$20,10,0)</f>
        <v>8</v>
      </c>
      <c r="AG13" s="13">
        <f>VLOOKUP(A13,GBOC!$E$7:$DG$29,$B$28,0)</f>
        <v>3</v>
      </c>
      <c r="AH13" s="14">
        <f t="shared" si="42"/>
        <v>0.375</v>
      </c>
      <c r="AI13" s="46">
        <f t="shared" si="43"/>
        <v>5</v>
      </c>
      <c r="AJ13" s="51">
        <f>VLOOKUP(A13,'Giao CT'!$D$6:$S$20,11,0)</f>
        <v>4</v>
      </c>
      <c r="AK13" s="13">
        <f>VLOOKUP(B13,'TH NV'!$B$5:$BG$18,36,0)</f>
        <v>3</v>
      </c>
      <c r="AL13" s="14">
        <f t="shared" si="44"/>
        <v>1.25</v>
      </c>
      <c r="AM13" s="61">
        <f t="shared" si="45"/>
        <v>1.25</v>
      </c>
      <c r="AN13" s="51">
        <f>VLOOKUP(A13,'Giao CT'!$D$6:$S$20,12,0)</f>
        <v>4</v>
      </c>
      <c r="AO13" s="13">
        <f>VLOOKUP(A13,GBOC!$E$7:$DG$29,$B$30,0)</f>
        <v>1</v>
      </c>
      <c r="AP13" s="14">
        <f t="shared" si="46"/>
        <v>1.75</v>
      </c>
      <c r="AQ13" s="61">
        <f t="shared" si="47"/>
        <v>1.75</v>
      </c>
      <c r="AR13" s="33">
        <v>0.97</v>
      </c>
      <c r="AS13" s="112">
        <f>(VLOOKUP(B13,cuoc!$B$7:$P$27,14,0))*1%</f>
        <v>0.97239999999999993</v>
      </c>
      <c r="AT13" s="14">
        <f t="shared" si="48"/>
        <v>1.0212389380530971</v>
      </c>
      <c r="AU13" s="48">
        <f t="shared" si="49"/>
        <v>-2.3999999999999577E-3</v>
      </c>
      <c r="AV13" s="51">
        <f>VLOOKUP(A13,'Giao CT'!$D$6:$S$20,14,0)</f>
        <v>1</v>
      </c>
      <c r="AW13" s="13">
        <f>VLOOKUP(A13,GBOC!$E$7:$DG$29,$B$32,0)</f>
        <v>0</v>
      </c>
      <c r="AX13" s="14">
        <f t="shared" si="50"/>
        <v>0</v>
      </c>
      <c r="AY13" s="48">
        <f t="shared" si="51"/>
        <v>1</v>
      </c>
      <c r="AZ13" s="51">
        <f>VLOOKUP(A13,'Giao CT'!$D$6:$S$20,15,0)</f>
        <v>1</v>
      </c>
      <c r="BA13" s="13">
        <f>VLOOKUP(A13,GBOC!$E$7:$DG$29,$B$33,0)</f>
        <v>0</v>
      </c>
      <c r="BB13" s="14">
        <f t="shared" si="52"/>
        <v>0</v>
      </c>
      <c r="BC13" s="48">
        <f t="shared" si="53"/>
        <v>1</v>
      </c>
      <c r="BD13" s="51">
        <f>VLOOKUP(A13,'Giao CT'!$D$6:$S$20,16,0)</f>
        <v>0</v>
      </c>
      <c r="BE13" s="13">
        <f>VLOOKUP(A13,GBOC!$E$7:$DG$29,$B$34,0)</f>
        <v>0</v>
      </c>
      <c r="BF13" s="14">
        <f t="shared" si="54"/>
        <v>1</v>
      </c>
      <c r="BG13" s="48">
        <f t="shared" si="55"/>
        <v>0</v>
      </c>
    </row>
    <row r="14" spans="1:59" ht="15.4" x14ac:dyDescent="0.45">
      <c r="A14" s="122" t="s">
        <v>107</v>
      </c>
      <c r="B14" s="122" t="s">
        <v>106</v>
      </c>
      <c r="C14" s="122" t="s">
        <v>129</v>
      </c>
      <c r="D14" s="123">
        <f>VLOOKUP(A14,'Giao CT'!$D$6:$S$20,3,0)</f>
        <v>7</v>
      </c>
      <c r="E14" s="58">
        <f>VLOOKUP(A14,GBOC!$E$7:$DG$29,$B$21,0)</f>
        <v>7</v>
      </c>
      <c r="F14" s="14">
        <f t="shared" si="28"/>
        <v>1</v>
      </c>
      <c r="G14" s="46">
        <f t="shared" si="29"/>
        <v>0</v>
      </c>
      <c r="H14" s="123">
        <f>VLOOKUP(A14,'Giao CT'!$D$6:$S$20,4,0)</f>
        <v>4</v>
      </c>
      <c r="I14" s="13">
        <f>VLOOKUP(A14,GBOC!$E$7:$DG$29,$B$22,0)</f>
        <v>10</v>
      </c>
      <c r="J14" s="14">
        <f t="shared" si="30"/>
        <v>2.5</v>
      </c>
      <c r="K14" s="46">
        <f t="shared" si="31"/>
        <v>-6</v>
      </c>
      <c r="L14" s="123">
        <f>VLOOKUP(A14,'Giao CT'!$D$6:$S$20,5,0)</f>
        <v>5</v>
      </c>
      <c r="M14" s="58">
        <f>VLOOKUP(A14,GBOC!$E$7:$DG$29,$B$23,0)</f>
        <v>3</v>
      </c>
      <c r="N14" s="14">
        <f t="shared" si="32"/>
        <v>0.6</v>
      </c>
      <c r="O14" s="46">
        <f t="shared" si="33"/>
        <v>2</v>
      </c>
      <c r="P14" s="52">
        <f>VLOOKUP(A14,'Giao CT'!$D$6:$S$20,6,0)</f>
        <v>4</v>
      </c>
      <c r="Q14" s="58">
        <f>VLOOKUP(A14,GBOC!$E$7:$DG$29,$B$24,0)</f>
        <v>6</v>
      </c>
      <c r="R14" s="14">
        <f t="shared" si="34"/>
        <v>1.5</v>
      </c>
      <c r="S14" s="46">
        <f t="shared" si="35"/>
        <v>-2</v>
      </c>
      <c r="T14" s="52">
        <f>VLOOKUP(A14,'Giao CT'!$D$6:$S$20,7,0)</f>
        <v>4</v>
      </c>
      <c r="U14" s="13">
        <f>VLOOKUP(A14,GBOC!$E$7:$DG$29,$B$25,0)</f>
        <v>8</v>
      </c>
      <c r="V14" s="14">
        <f t="shared" si="36"/>
        <v>2</v>
      </c>
      <c r="W14" s="44">
        <f t="shared" si="37"/>
        <v>-4</v>
      </c>
      <c r="X14" s="52">
        <f>VLOOKUP(A14,'Giao CT'!$D$6:$S$20,8,0)</f>
        <v>1</v>
      </c>
      <c r="Y14" s="13">
        <f>VLOOKUP(A14,GBOC!$E$7:$DG$29,$B$26,0)</f>
        <v>12</v>
      </c>
      <c r="Z14" s="14">
        <f t="shared" si="38"/>
        <v>12</v>
      </c>
      <c r="AA14" s="46">
        <f t="shared" si="39"/>
        <v>-11</v>
      </c>
      <c r="AB14" s="51">
        <f>VLOOKUP(A14,'Giao CT'!$D$6:$S$20,9,0)</f>
        <v>30</v>
      </c>
      <c r="AC14" s="13">
        <f>VLOOKUP(A14,GBOC!$E$7:$DG$29,$B$27,0)</f>
        <v>73</v>
      </c>
      <c r="AD14" s="14">
        <f t="shared" si="40"/>
        <v>2.4333333333333331</v>
      </c>
      <c r="AE14" s="46">
        <f t="shared" si="41"/>
        <v>-43</v>
      </c>
      <c r="AF14" s="51">
        <f>VLOOKUP(A14,'Giao CT'!$D$6:$S$20,10,0)</f>
        <v>8</v>
      </c>
      <c r="AG14" s="13">
        <f>VLOOKUP(A14,GBOC!$E$7:$DG$29,$B$28,0)</f>
        <v>8</v>
      </c>
      <c r="AH14" s="14">
        <f t="shared" si="42"/>
        <v>1</v>
      </c>
      <c r="AI14" s="46">
        <f t="shared" si="43"/>
        <v>0</v>
      </c>
      <c r="AJ14" s="51">
        <f>VLOOKUP(A14,'Giao CT'!$D$6:$S$20,11,0)</f>
        <v>4</v>
      </c>
      <c r="AK14" s="13">
        <f>VLOOKUP(B14,'TH NV'!$B$5:$BG$18,36,0)</f>
        <v>8</v>
      </c>
      <c r="AL14" s="14">
        <f t="shared" si="44"/>
        <v>0</v>
      </c>
      <c r="AM14" s="61">
        <f t="shared" si="45"/>
        <v>0</v>
      </c>
      <c r="AN14" s="51">
        <f>VLOOKUP(A14,'Giao CT'!$D$6:$S$20,12,0)</f>
        <v>5</v>
      </c>
      <c r="AO14" s="13">
        <f>VLOOKUP(A14,GBOC!$E$7:$DG$29,$B$30,0)</f>
        <v>5</v>
      </c>
      <c r="AP14" s="14">
        <f t="shared" si="46"/>
        <v>1</v>
      </c>
      <c r="AQ14" s="61">
        <f t="shared" si="47"/>
        <v>1</v>
      </c>
      <c r="AR14" s="33">
        <v>0.97</v>
      </c>
      <c r="AS14" s="112">
        <f>(VLOOKUP(B14,cuoc!$B$7:$P$27,14,0))*1%</f>
        <v>0.96050000000000002</v>
      </c>
      <c r="AT14" s="14">
        <f t="shared" si="48"/>
        <v>0.8</v>
      </c>
      <c r="AU14" s="48">
        <f t="shared" si="49"/>
        <v>9.4999999999999529E-3</v>
      </c>
      <c r="AV14" s="51">
        <f>VLOOKUP(A14,'Giao CT'!$D$6:$S$20,14,0)</f>
        <v>3</v>
      </c>
      <c r="AW14" s="13">
        <f>VLOOKUP(A14,GBOC!$E$7:$DG$29,$B$32,0)</f>
        <v>2</v>
      </c>
      <c r="AX14" s="14">
        <f t="shared" si="50"/>
        <v>0.66666666666666663</v>
      </c>
      <c r="AY14" s="48">
        <f t="shared" si="51"/>
        <v>1</v>
      </c>
      <c r="AZ14" s="51">
        <f>VLOOKUP(A14,'Giao CT'!$D$6:$S$20,15,0)</f>
        <v>1</v>
      </c>
      <c r="BA14" s="13">
        <f>VLOOKUP(A14,GBOC!$E$7:$DG$29,$B$33,0)</f>
        <v>1</v>
      </c>
      <c r="BB14" s="14">
        <f t="shared" si="52"/>
        <v>1</v>
      </c>
      <c r="BC14" s="48">
        <f t="shared" si="53"/>
        <v>0</v>
      </c>
      <c r="BD14" s="51">
        <f>VLOOKUP(A14,'Giao CT'!$D$6:$S$20,16,0)</f>
        <v>0</v>
      </c>
      <c r="BE14" s="13">
        <f>VLOOKUP(A14,GBOC!$E$7:$DG$29,$B$34,0)</f>
        <v>2</v>
      </c>
      <c r="BF14" s="14">
        <f t="shared" si="54"/>
        <v>1</v>
      </c>
      <c r="BG14" s="48">
        <f t="shared" si="55"/>
        <v>-2</v>
      </c>
    </row>
    <row r="15" spans="1:59" ht="15.4" x14ac:dyDescent="0.45">
      <c r="A15" s="122" t="s">
        <v>113</v>
      </c>
      <c r="B15" s="122" t="s">
        <v>112</v>
      </c>
      <c r="C15" s="122" t="s">
        <v>129</v>
      </c>
      <c r="D15" s="123">
        <f>VLOOKUP(A15,'Giao CT'!$D$6:$S$20,3,0)</f>
        <v>7</v>
      </c>
      <c r="E15" s="58">
        <f>VLOOKUP(A15,GBOC!$E$7:$DG$29,$B$21,0)</f>
        <v>7</v>
      </c>
      <c r="F15" s="14">
        <f t="shared" si="28"/>
        <v>1</v>
      </c>
      <c r="G15" s="46">
        <f t="shared" si="29"/>
        <v>0</v>
      </c>
      <c r="H15" s="123">
        <f>VLOOKUP(A15,'Giao CT'!$D$6:$S$20,4,0)</f>
        <v>4</v>
      </c>
      <c r="I15" s="13">
        <f>VLOOKUP(A15,GBOC!$E$7:$DG$29,$B$22,0)</f>
        <v>5</v>
      </c>
      <c r="J15" s="14">
        <f t="shared" si="30"/>
        <v>1.25</v>
      </c>
      <c r="K15" s="46">
        <f t="shared" si="31"/>
        <v>-1</v>
      </c>
      <c r="L15" s="123">
        <f>VLOOKUP(A15,'Giao CT'!$D$6:$S$20,5,0)</f>
        <v>5</v>
      </c>
      <c r="M15" s="58">
        <f>VLOOKUP(A15,GBOC!$E$7:$DG$29,$B$23,0)</f>
        <v>4</v>
      </c>
      <c r="N15" s="14">
        <f t="shared" si="32"/>
        <v>0.8</v>
      </c>
      <c r="O15" s="46">
        <f t="shared" si="33"/>
        <v>1</v>
      </c>
      <c r="P15" s="52">
        <f>VLOOKUP(A15,'Giao CT'!$D$6:$S$20,6,0)</f>
        <v>4</v>
      </c>
      <c r="Q15" s="58">
        <f>VLOOKUP(A15,GBOC!$E$7:$DG$29,$B$24,0)</f>
        <v>3</v>
      </c>
      <c r="R15" s="14">
        <f t="shared" si="34"/>
        <v>0.75</v>
      </c>
      <c r="S15" s="46">
        <f t="shared" si="35"/>
        <v>1</v>
      </c>
      <c r="T15" s="52">
        <f>VLOOKUP(A15,'Giao CT'!$D$6:$S$20,7,0)</f>
        <v>4</v>
      </c>
      <c r="U15" s="13">
        <f>VLOOKUP(A15,GBOC!$E$7:$DG$29,$B$25,0)</f>
        <v>4</v>
      </c>
      <c r="V15" s="14">
        <f t="shared" si="36"/>
        <v>1</v>
      </c>
      <c r="W15" s="44">
        <f t="shared" si="37"/>
        <v>0</v>
      </c>
      <c r="X15" s="52">
        <f>VLOOKUP(A15,'Giao CT'!$D$6:$S$20,8,0)</f>
        <v>1</v>
      </c>
      <c r="Y15" s="13">
        <f>VLOOKUP(A15,GBOC!$E$7:$DG$29,$B$26,0)</f>
        <v>1</v>
      </c>
      <c r="Z15" s="14">
        <f t="shared" si="38"/>
        <v>1</v>
      </c>
      <c r="AA15" s="46">
        <f t="shared" si="39"/>
        <v>0</v>
      </c>
      <c r="AB15" s="51">
        <f>VLOOKUP(A15,'Giao CT'!$D$6:$S$20,9,0)</f>
        <v>30</v>
      </c>
      <c r="AC15" s="13">
        <f>VLOOKUP(A15,GBOC!$E$7:$DG$29,$B$27,0)</f>
        <v>52</v>
      </c>
      <c r="AD15" s="14">
        <f t="shared" si="40"/>
        <v>1.7333333333333334</v>
      </c>
      <c r="AE15" s="46">
        <f t="shared" si="41"/>
        <v>-22</v>
      </c>
      <c r="AF15" s="51">
        <f>VLOOKUP(A15,'Giao CT'!$D$6:$S$20,10,0)</f>
        <v>8</v>
      </c>
      <c r="AG15" s="13">
        <f>VLOOKUP(A15,GBOC!$E$7:$DG$29,$B$28,0)</f>
        <v>6</v>
      </c>
      <c r="AH15" s="14">
        <f t="shared" si="42"/>
        <v>0.75</v>
      </c>
      <c r="AI15" s="46">
        <f t="shared" si="43"/>
        <v>2</v>
      </c>
      <c r="AJ15" s="51">
        <f>VLOOKUP(A15,'Giao CT'!$D$6:$S$20,11,0)</f>
        <v>4</v>
      </c>
      <c r="AK15" s="13">
        <f>VLOOKUP(B15,'TH NV'!$B$5:$BG$18,36,0)</f>
        <v>4</v>
      </c>
      <c r="AL15" s="14">
        <f t="shared" si="44"/>
        <v>1</v>
      </c>
      <c r="AM15" s="61">
        <f t="shared" si="45"/>
        <v>1</v>
      </c>
      <c r="AN15" s="51">
        <f>VLOOKUP(A15,'Giao CT'!$D$6:$S$20,12,0)</f>
        <v>4</v>
      </c>
      <c r="AO15" s="13">
        <f>VLOOKUP(A15,GBOC!$E$7:$DG$29,$B$30,0)</f>
        <v>2</v>
      </c>
      <c r="AP15" s="14">
        <f t="shared" si="46"/>
        <v>1.5</v>
      </c>
      <c r="AQ15" s="61">
        <f t="shared" si="47"/>
        <v>1.5</v>
      </c>
      <c r="AR15" s="33">
        <v>0.97</v>
      </c>
      <c r="AS15" s="112">
        <f>(VLOOKUP(B15,cuoc!$B$7:$P$27,14,0))*1%</f>
        <v>0.95530000000000004</v>
      </c>
      <c r="AT15" s="14">
        <f t="shared" si="48"/>
        <v>0.5</v>
      </c>
      <c r="AU15" s="48">
        <f t="shared" si="49"/>
        <v>1.4699999999999935E-2</v>
      </c>
      <c r="AV15" s="51">
        <f>VLOOKUP(A15,'Giao CT'!$D$6:$S$20,14,0)</f>
        <v>2</v>
      </c>
      <c r="AW15" s="13">
        <f>VLOOKUP(A15,GBOC!$E$7:$DG$29,$B$32,0)</f>
        <v>0</v>
      </c>
      <c r="AX15" s="14">
        <f t="shared" si="50"/>
        <v>0</v>
      </c>
      <c r="AY15" s="48">
        <f t="shared" si="51"/>
        <v>2</v>
      </c>
      <c r="AZ15" s="51">
        <f>VLOOKUP(A15,'Giao CT'!$D$6:$S$20,15,0)</f>
        <v>1</v>
      </c>
      <c r="BA15" s="13">
        <f>VLOOKUP(A15,GBOC!$E$7:$DG$29,$B$33,0)</f>
        <v>3</v>
      </c>
      <c r="BB15" s="14">
        <f t="shared" si="52"/>
        <v>3</v>
      </c>
      <c r="BC15" s="48">
        <f t="shared" si="53"/>
        <v>-2</v>
      </c>
      <c r="BD15" s="51">
        <f>VLOOKUP(A15,'Giao CT'!$D$6:$S$20,16,0)</f>
        <v>0</v>
      </c>
      <c r="BE15" s="13">
        <f>VLOOKUP(A15,GBOC!$E$7:$DG$29,$B$34,0)</f>
        <v>0</v>
      </c>
      <c r="BF15" s="14">
        <f t="shared" si="54"/>
        <v>1</v>
      </c>
      <c r="BG15" s="48">
        <f t="shared" si="55"/>
        <v>0</v>
      </c>
    </row>
    <row r="16" spans="1:59" ht="15.4" x14ac:dyDescent="0.45">
      <c r="A16" s="122" t="s">
        <v>119</v>
      </c>
      <c r="B16" s="122" t="s">
        <v>118</v>
      </c>
      <c r="C16" s="122" t="s">
        <v>129</v>
      </c>
      <c r="D16" s="123">
        <f>VLOOKUP(A16,'Giao CT'!$D$6:$S$20,3,0)</f>
        <v>7</v>
      </c>
      <c r="E16" s="58">
        <f>VLOOKUP(A16,GBOC!$E$7:$DG$29,$B$21,0)</f>
        <v>12</v>
      </c>
      <c r="F16" s="14">
        <f t="shared" si="28"/>
        <v>1.7142857142857142</v>
      </c>
      <c r="G16" s="46">
        <f t="shared" si="29"/>
        <v>-5</v>
      </c>
      <c r="H16" s="123">
        <f>VLOOKUP(A16,'Giao CT'!$D$6:$S$20,4,0)</f>
        <v>4</v>
      </c>
      <c r="I16" s="13">
        <f>VLOOKUP(A16,GBOC!$E$7:$DG$29,$B$22,0)</f>
        <v>6</v>
      </c>
      <c r="J16" s="14">
        <f t="shared" si="30"/>
        <v>1.5</v>
      </c>
      <c r="K16" s="46">
        <f t="shared" si="31"/>
        <v>-2</v>
      </c>
      <c r="L16" s="123">
        <f>VLOOKUP(A16,'Giao CT'!$D$6:$S$20,5,0)</f>
        <v>5</v>
      </c>
      <c r="M16" s="58">
        <f>VLOOKUP(A16,GBOC!$E$7:$DG$29,$B$23,0)</f>
        <v>4</v>
      </c>
      <c r="N16" s="14">
        <f t="shared" si="32"/>
        <v>0.8</v>
      </c>
      <c r="O16" s="46">
        <f t="shared" si="33"/>
        <v>1</v>
      </c>
      <c r="P16" s="52">
        <f>VLOOKUP(A16,'Giao CT'!$D$6:$S$20,6,0)</f>
        <v>4</v>
      </c>
      <c r="Q16" s="58">
        <f>VLOOKUP(A16,GBOC!$E$7:$DG$29,$B$24,0)</f>
        <v>6</v>
      </c>
      <c r="R16" s="14">
        <f t="shared" si="34"/>
        <v>1.5</v>
      </c>
      <c r="S16" s="46">
        <f t="shared" si="35"/>
        <v>-2</v>
      </c>
      <c r="T16" s="52">
        <f>VLOOKUP(A16,'Giao CT'!$D$6:$S$20,7,0)</f>
        <v>4</v>
      </c>
      <c r="U16" s="13">
        <f>VLOOKUP(A16,GBOC!$E$7:$DG$29,$B$25,0)</f>
        <v>9</v>
      </c>
      <c r="V16" s="14">
        <f t="shared" si="36"/>
        <v>2.25</v>
      </c>
      <c r="W16" s="44">
        <f t="shared" si="37"/>
        <v>-5</v>
      </c>
      <c r="X16" s="52">
        <f>VLOOKUP(A16,'Giao CT'!$D$6:$S$20,8,0)</f>
        <v>1</v>
      </c>
      <c r="Y16" s="13">
        <f>VLOOKUP(A16,GBOC!$E$7:$DG$29,$B$26,0)</f>
        <v>26</v>
      </c>
      <c r="Z16" s="14">
        <f t="shared" si="38"/>
        <v>26</v>
      </c>
      <c r="AA16" s="46">
        <f t="shared" si="39"/>
        <v>-25</v>
      </c>
      <c r="AB16" s="51">
        <f>VLOOKUP(A16,'Giao CT'!$D$6:$S$20,9,0)</f>
        <v>60</v>
      </c>
      <c r="AC16" s="13">
        <f>VLOOKUP(A16,GBOC!$E$7:$DG$29,$B$27,0)</f>
        <v>187</v>
      </c>
      <c r="AD16" s="14">
        <f t="shared" si="40"/>
        <v>3.1166666666666667</v>
      </c>
      <c r="AE16" s="46">
        <f t="shared" si="41"/>
        <v>-127</v>
      </c>
      <c r="AF16" s="51">
        <f>VLOOKUP(A16,'Giao CT'!$D$6:$S$20,10,0)</f>
        <v>8</v>
      </c>
      <c r="AG16" s="13">
        <f>VLOOKUP(A16,GBOC!$E$7:$DG$29,$B$28,0)</f>
        <v>22</v>
      </c>
      <c r="AH16" s="14">
        <f t="shared" si="42"/>
        <v>2.75</v>
      </c>
      <c r="AI16" s="46">
        <f t="shared" si="43"/>
        <v>-14</v>
      </c>
      <c r="AJ16" s="51">
        <f>VLOOKUP(A16,'Giao CT'!$D$6:$S$20,11,0)</f>
        <v>4</v>
      </c>
      <c r="AK16" s="13">
        <f>VLOOKUP(B16,'TH NV'!$B$5:$BG$18,36,0)</f>
        <v>3</v>
      </c>
      <c r="AL16" s="14">
        <f t="shared" si="44"/>
        <v>1.25</v>
      </c>
      <c r="AM16" s="61">
        <f t="shared" si="45"/>
        <v>1.25</v>
      </c>
      <c r="AN16" s="51">
        <f>VLOOKUP(A16,'Giao CT'!$D$6:$S$20,12,0)</f>
        <v>5</v>
      </c>
      <c r="AO16" s="13">
        <f>VLOOKUP(A16,GBOC!$E$7:$DG$29,$B$30,0)</f>
        <v>3</v>
      </c>
      <c r="AP16" s="14">
        <f t="shared" si="46"/>
        <v>1.4</v>
      </c>
      <c r="AQ16" s="61">
        <f t="shared" si="47"/>
        <v>1.4</v>
      </c>
      <c r="AR16" s="33">
        <v>0.97</v>
      </c>
      <c r="AS16" s="112">
        <f>(VLOOKUP(B16,cuoc!$B$7:$P$27,14,0))*1%</f>
        <v>0.96379999999999999</v>
      </c>
      <c r="AT16" s="14">
        <f t="shared" si="48"/>
        <v>0.8</v>
      </c>
      <c r="AU16" s="48">
        <f t="shared" si="49"/>
        <v>6.1999999999999833E-3</v>
      </c>
      <c r="AV16" s="51">
        <f>VLOOKUP(A16,'Giao CT'!$D$6:$S$20,14,0)</f>
        <v>3</v>
      </c>
      <c r="AW16" s="13">
        <f>VLOOKUP(A16,GBOC!$E$7:$DG$29,$B$32,0)</f>
        <v>0</v>
      </c>
      <c r="AX16" s="14">
        <f t="shared" si="50"/>
        <v>0</v>
      </c>
      <c r="AY16" s="48">
        <f t="shared" si="51"/>
        <v>3</v>
      </c>
      <c r="AZ16" s="51">
        <f>VLOOKUP(A16,'Giao CT'!$D$6:$S$20,15,0)</f>
        <v>1</v>
      </c>
      <c r="BA16" s="13">
        <f>VLOOKUP(A16,GBOC!$E$7:$DG$29,$B$33,0)</f>
        <v>1</v>
      </c>
      <c r="BB16" s="14">
        <f t="shared" si="52"/>
        <v>1</v>
      </c>
      <c r="BC16" s="48">
        <f t="shared" si="53"/>
        <v>0</v>
      </c>
      <c r="BD16" s="51">
        <f>VLOOKUP(A16,'Giao CT'!$D$6:$S$20,16,0)</f>
        <v>0</v>
      </c>
      <c r="BE16" s="13">
        <f>VLOOKUP(A16,GBOC!$E$7:$DG$29,$B$34,0)</f>
        <v>2</v>
      </c>
      <c r="BF16" s="14">
        <f t="shared" si="54"/>
        <v>1</v>
      </c>
      <c r="BG16" s="48">
        <f t="shared" si="55"/>
        <v>-2</v>
      </c>
    </row>
    <row r="17" spans="1:17" ht="15.4" x14ac:dyDescent="0.45">
      <c r="B17" s="127"/>
      <c r="C17" s="127"/>
      <c r="D17" s="120"/>
      <c r="E17" s="120"/>
      <c r="H17" s="120"/>
      <c r="I17" s="120"/>
      <c r="M17" s="120"/>
    </row>
    <row r="18" spans="1:17" s="1" customFormat="1" ht="15.4" x14ac:dyDescent="0.45">
      <c r="B18" s="122" t="s">
        <v>130</v>
      </c>
      <c r="C18" s="122" t="s">
        <v>131</v>
      </c>
      <c r="D18" s="120"/>
      <c r="E18" s="120"/>
      <c r="H18" s="120"/>
      <c r="I18" s="120"/>
      <c r="L18" s="120"/>
      <c r="M18" s="120"/>
    </row>
    <row r="19" spans="1:17" ht="15.4" x14ac:dyDescent="0.45">
      <c r="A19" s="121" t="s">
        <v>128</v>
      </c>
      <c r="B19" s="125">
        <f ca="1">SUMIF(cuoc!A7:P27,'tiến độ'!A19,cuoc!I7:I27)</f>
        <v>643774867</v>
      </c>
      <c r="C19" s="125">
        <f ca="1">SUMIF(cuoc!A7:P27,'tiến độ'!A19,cuoc!M7:M27)</f>
        <v>614147283</v>
      </c>
      <c r="D19" s="125">
        <f ca="1">B19*0.968-C19</f>
        <v>9026788.2559999228</v>
      </c>
      <c r="E19" s="120"/>
      <c r="H19" s="120"/>
      <c r="I19" s="120"/>
      <c r="M19" s="120"/>
    </row>
    <row r="20" spans="1:17" ht="15.4" x14ac:dyDescent="0.45">
      <c r="A20" s="122" t="s">
        <v>129</v>
      </c>
      <c r="B20" s="126">
        <f ca="1">SUMIF(cuoc!A8:P27,'tiến độ'!A20,cuoc!I8:I27)</f>
        <v>1081173353</v>
      </c>
      <c r="C20" s="126">
        <f ca="1">SUMIF(cuoc!A8:P27,'tiến độ'!A20,cuoc!M8:M27)</f>
        <v>1037010444</v>
      </c>
      <c r="D20" s="125">
        <f ca="1">B20*0.968-C20</f>
        <v>9565361.7039999962</v>
      </c>
    </row>
    <row r="21" spans="1:17" x14ac:dyDescent="0.45">
      <c r="A21" s="101" t="s">
        <v>3</v>
      </c>
      <c r="B21" s="98" t="s">
        <v>233</v>
      </c>
      <c r="C21" s="98">
        <f t="shared" ref="C21:C30" si="56">B21-2</f>
        <v>5</v>
      </c>
      <c r="D21" s="98"/>
    </row>
    <row r="22" spans="1:17" x14ac:dyDescent="0.45">
      <c r="A22" s="101" t="s">
        <v>40</v>
      </c>
      <c r="B22" s="99">
        <v>15</v>
      </c>
      <c r="C22" s="98">
        <f t="shared" si="56"/>
        <v>13</v>
      </c>
      <c r="D22" s="98"/>
    </row>
    <row r="23" spans="1:17" ht="31.5" customHeight="1" x14ac:dyDescent="0.45">
      <c r="A23" s="101" t="s">
        <v>41</v>
      </c>
      <c r="B23" s="99">
        <v>55</v>
      </c>
      <c r="C23" s="98">
        <f t="shared" si="56"/>
        <v>53</v>
      </c>
      <c r="D23" s="98"/>
      <c r="Q23">
        <f>13/18</f>
        <v>0.72222222222222221</v>
      </c>
    </row>
    <row r="24" spans="1:17" x14ac:dyDescent="0.45">
      <c r="A24" s="23" t="s">
        <v>42</v>
      </c>
      <c r="B24" s="99">
        <v>87</v>
      </c>
      <c r="C24" s="98">
        <f t="shared" si="56"/>
        <v>85</v>
      </c>
      <c r="D24" s="98"/>
    </row>
    <row r="25" spans="1:17" x14ac:dyDescent="0.45">
      <c r="A25" s="102" t="s">
        <v>43</v>
      </c>
      <c r="B25" s="100">
        <v>95</v>
      </c>
      <c r="C25" s="98">
        <f t="shared" si="56"/>
        <v>93</v>
      </c>
      <c r="D25" s="98"/>
    </row>
    <row r="26" spans="1:17" x14ac:dyDescent="0.45">
      <c r="A26" s="102" t="s">
        <v>45</v>
      </c>
      <c r="B26" s="97">
        <v>103</v>
      </c>
      <c r="C26" s="98">
        <f t="shared" si="56"/>
        <v>101</v>
      </c>
      <c r="D26" s="98"/>
    </row>
    <row r="27" spans="1:17" x14ac:dyDescent="0.45">
      <c r="A27" s="102" t="s">
        <v>47</v>
      </c>
      <c r="B27" s="97">
        <v>47</v>
      </c>
      <c r="C27" s="98">
        <f t="shared" si="56"/>
        <v>45</v>
      </c>
      <c r="D27" s="98"/>
    </row>
    <row r="28" spans="1:17" x14ac:dyDescent="0.45">
      <c r="A28" s="102" t="s">
        <v>48</v>
      </c>
      <c r="B28" s="97">
        <v>79</v>
      </c>
      <c r="C28" s="98">
        <f t="shared" si="56"/>
        <v>77</v>
      </c>
      <c r="D28" s="98"/>
    </row>
    <row r="29" spans="1:17" x14ac:dyDescent="0.45">
      <c r="A29" s="97" t="s">
        <v>51</v>
      </c>
      <c r="B29" s="97">
        <v>39</v>
      </c>
      <c r="C29" s="98">
        <f t="shared" si="56"/>
        <v>37</v>
      </c>
      <c r="D29" s="98"/>
    </row>
    <row r="30" spans="1:17" x14ac:dyDescent="0.45">
      <c r="A30" s="97" t="s">
        <v>14</v>
      </c>
      <c r="B30" s="97">
        <v>31</v>
      </c>
      <c r="C30" s="98">
        <f t="shared" si="56"/>
        <v>29</v>
      </c>
      <c r="D30" s="98"/>
    </row>
    <row r="31" spans="1:17" x14ac:dyDescent="0.45">
      <c r="A31" s="97" t="s">
        <v>52</v>
      </c>
      <c r="B31" s="97"/>
      <c r="C31" s="98"/>
      <c r="D31" s="98"/>
    </row>
    <row r="32" spans="1:17" x14ac:dyDescent="0.45">
      <c r="A32" s="97" t="s">
        <v>16</v>
      </c>
      <c r="B32" s="97">
        <v>23</v>
      </c>
      <c r="C32" s="98">
        <f>B32-2</f>
        <v>21</v>
      </c>
      <c r="D32" s="98"/>
    </row>
    <row r="33" spans="1:4" x14ac:dyDescent="0.45">
      <c r="A33" s="97" t="s">
        <v>54</v>
      </c>
      <c r="B33" s="97">
        <v>71</v>
      </c>
      <c r="C33" s="98">
        <f>B33-2</f>
        <v>69</v>
      </c>
      <c r="D33" s="98"/>
    </row>
    <row r="34" spans="1:4" x14ac:dyDescent="0.45">
      <c r="A34" s="97" t="s">
        <v>55</v>
      </c>
      <c r="B34" s="97">
        <v>63</v>
      </c>
      <c r="C34" s="98">
        <f>B34-2</f>
        <v>61</v>
      </c>
      <c r="D34" s="98"/>
    </row>
  </sheetData>
  <mergeCells count="18">
    <mergeCell ref="X2:AA2"/>
    <mergeCell ref="AB2:AE2"/>
    <mergeCell ref="AF2:AI2"/>
    <mergeCell ref="AJ1:AU1"/>
    <mergeCell ref="AV1:BG1"/>
    <mergeCell ref="T1:AI1"/>
    <mergeCell ref="AR2:AU2"/>
    <mergeCell ref="AV2:AY2"/>
    <mergeCell ref="AZ2:BC2"/>
    <mergeCell ref="BD2:BG2"/>
    <mergeCell ref="AJ2:AM2"/>
    <mergeCell ref="AN2:AQ2"/>
    <mergeCell ref="T2:W2"/>
    <mergeCell ref="D1:S1"/>
    <mergeCell ref="D2:G2"/>
    <mergeCell ref="H2:K2"/>
    <mergeCell ref="L2:O2"/>
    <mergeCell ref="P2:S2"/>
  </mergeCells>
  <phoneticPr fontId="0" type="noConversion"/>
  <conditionalFormatting sqref="F4:F16">
    <cfRule type="colorScale" priority="8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 K4 O4">
    <cfRule type="cellIs" dxfId="33" priority="16" stopIfTrue="1" operator="greaterThan">
      <formula>0</formula>
    </cfRule>
    <cfRule type="cellIs" dxfId="32" priority="17" stopIfTrue="1" operator="lessThan">
      <formula>0</formula>
    </cfRule>
  </conditionalFormatting>
  <conditionalFormatting sqref="J4:J16">
    <cfRule type="colorScale" priority="8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16">
    <cfRule type="colorScale" priority="8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:R16">
    <cfRule type="colorScale" priority="8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">
    <cfRule type="colorScale" priority="22">
      <colorScale>
        <cfvo type="min"/>
        <cfvo type="max"/>
        <color rgb="FF63BE7B"/>
        <color rgb="FFFFEF9C"/>
      </colorScale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31" priority="24" stopIfTrue="1" operator="lessThan">
      <formula>0</formula>
    </cfRule>
    <cfRule type="cellIs" dxfId="30" priority="25" stopIfTrue="1" operator="greaterThan">
      <formula>0</formula>
    </cfRule>
  </conditionalFormatting>
  <conditionalFormatting sqref="V4:V16">
    <cfRule type="colorScale" priority="9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 AM4">
    <cfRule type="cellIs" dxfId="29" priority="9" stopIfTrue="1" operator="greaterThan">
      <formula>0</formula>
    </cfRule>
    <cfRule type="cellIs" dxfId="28" priority="10" stopIfTrue="1" operator="lessThan">
      <formula>0</formula>
    </cfRule>
  </conditionalFormatting>
  <conditionalFormatting sqref="Z4:Z16">
    <cfRule type="colorScale" priority="9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 AE4 AI4">
    <cfRule type="cellIs" dxfId="27" priority="8" stopIfTrue="1" operator="lessThan">
      <formula>0</formula>
    </cfRule>
    <cfRule type="cellIs" dxfId="26" priority="13" stopIfTrue="1" operator="greaterThan">
      <formula>0</formula>
    </cfRule>
  </conditionalFormatting>
  <conditionalFormatting sqref="AD4:AD16">
    <cfRule type="colorScale" priority="9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4:AH16">
    <cfRule type="colorScale" priority="9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4:AL16">
    <cfRule type="colorScale" priority="9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4">
    <cfRule type="cellIs" dxfId="25" priority="7" operator="lessThan">
      <formula>$K$20</formula>
    </cfRule>
  </conditionalFormatting>
  <conditionalFormatting sqref="AP5:AP16">
    <cfRule type="colorScale" priority="9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 AU4 AY4 BG4">
    <cfRule type="cellIs" dxfId="24" priority="2" stopIfTrue="1" operator="greaterThan">
      <formula>0</formula>
    </cfRule>
    <cfRule type="cellIs" dxfId="23" priority="3" stopIfTrue="1" operator="lessThan">
      <formula>0</formula>
    </cfRule>
  </conditionalFormatting>
  <conditionalFormatting sqref="AT4:AT16">
    <cfRule type="colorScale" priority="9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4">
    <cfRule type="cellIs" dxfId="22" priority="4" operator="lessThan">
      <formula>1</formula>
    </cfRule>
  </conditionalFormatting>
  <conditionalFormatting sqref="AX5:AX16">
    <cfRule type="colorScale" priority="9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4:BB16">
    <cfRule type="colorScale" priority="9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4">
    <cfRule type="cellIs" dxfId="21" priority="1" stopIfTrue="1" operator="lessThan">
      <formula>0</formula>
    </cfRule>
    <cfRule type="cellIs" dxfId="20" priority="6" stopIfTrue="1" operator="greaterThan">
      <formula>0</formula>
    </cfRule>
  </conditionalFormatting>
  <conditionalFormatting sqref="BF4:BF16">
    <cfRule type="colorScale" priority="9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69991251615088756" right="0.69991251615088756" top="0.74990626395218019" bottom="0.74990626395218019" header="0.29996251027415122" footer="0.29996251027415122"/>
  <pageSetup paperSize="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AF4C2-379E-4E05-A870-198385941EC5}">
  <dimension ref="A1:DG30"/>
  <sheetViews>
    <sheetView tabSelected="1" topLeftCell="A4" workbookViewId="0">
      <selection activeCell="E7" sqref="E7:DG30"/>
    </sheetView>
  </sheetViews>
  <sheetFormatPr defaultRowHeight="14.25" x14ac:dyDescent="0.45"/>
  <cols>
    <col min="2" max="2" width="13.265625" bestFit="1" customWidth="1"/>
    <col min="3" max="3" width="23" bestFit="1" customWidth="1"/>
    <col min="4" max="4" width="10.59765625" bestFit="1" customWidth="1"/>
    <col min="5" max="5" width="18.265625" bestFit="1" customWidth="1"/>
    <col min="6" max="6" width="23" bestFit="1" customWidth="1"/>
    <col min="7" max="7" width="17.06640625" bestFit="1" customWidth="1"/>
    <col min="8" max="8" width="9.1328125" bestFit="1" customWidth="1"/>
  </cols>
  <sheetData>
    <row r="1" spans="1:111" x14ac:dyDescent="0.45">
      <c r="A1" s="218" t="s">
        <v>236</v>
      </c>
      <c r="B1" s="219"/>
      <c r="C1" s="219"/>
      <c r="D1" s="219"/>
      <c r="E1" s="219"/>
      <c r="F1" s="219"/>
      <c r="G1" s="219"/>
      <c r="H1" s="219"/>
    </row>
    <row r="2" spans="1:111" x14ac:dyDescent="0.45">
      <c r="A2" s="220" t="s">
        <v>237</v>
      </c>
      <c r="B2" s="219"/>
      <c r="C2" s="219"/>
      <c r="D2" s="219"/>
      <c r="E2" s="219"/>
      <c r="F2" s="219"/>
      <c r="G2" s="219"/>
      <c r="H2" s="219"/>
    </row>
    <row r="3" spans="1:111" x14ac:dyDescent="0.45">
      <c r="A3" s="221" t="s">
        <v>238</v>
      </c>
      <c r="B3" s="219"/>
      <c r="C3" s="219"/>
      <c r="D3" s="219"/>
      <c r="E3" s="219"/>
      <c r="F3" s="219"/>
      <c r="G3" s="219"/>
      <c r="H3" s="219"/>
    </row>
    <row r="4" spans="1:111" ht="14.65" thickBot="1" x14ac:dyDescent="0.5">
      <c r="A4" s="136"/>
      <c r="B4" s="136"/>
      <c r="C4" s="136"/>
      <c r="D4" s="137" t="s">
        <v>154</v>
      </c>
      <c r="E4" s="136">
        <v>1</v>
      </c>
      <c r="F4" s="136">
        <v>2</v>
      </c>
      <c r="G4" s="136">
        <v>3</v>
      </c>
      <c r="H4" s="136">
        <v>4</v>
      </c>
      <c r="I4" s="136">
        <v>5</v>
      </c>
      <c r="J4" s="136">
        <v>6</v>
      </c>
      <c r="K4" s="136">
        <v>7</v>
      </c>
      <c r="L4" s="136">
        <v>8</v>
      </c>
      <c r="M4" s="136">
        <v>9</v>
      </c>
      <c r="N4" s="136">
        <v>10</v>
      </c>
      <c r="O4" s="136">
        <v>11</v>
      </c>
      <c r="P4" s="136">
        <v>12</v>
      </c>
      <c r="Q4" s="136">
        <v>13</v>
      </c>
      <c r="R4" s="136">
        <v>14</v>
      </c>
      <c r="S4" s="136">
        <v>15</v>
      </c>
      <c r="T4" s="136">
        <v>16</v>
      </c>
      <c r="U4" s="136">
        <v>17</v>
      </c>
      <c r="V4" s="136">
        <v>18</v>
      </c>
      <c r="W4" s="136">
        <v>19</v>
      </c>
      <c r="X4" s="136">
        <v>20</v>
      </c>
      <c r="Y4" s="136">
        <v>21</v>
      </c>
      <c r="Z4" s="136">
        <v>22</v>
      </c>
      <c r="AA4" s="136">
        <v>23</v>
      </c>
      <c r="AB4" s="136">
        <v>24</v>
      </c>
      <c r="AC4" s="136">
        <v>25</v>
      </c>
      <c r="AD4" s="136">
        <v>26</v>
      </c>
      <c r="AE4" s="136">
        <v>27</v>
      </c>
      <c r="AF4" s="136">
        <v>28</v>
      </c>
      <c r="AG4" s="136">
        <v>29</v>
      </c>
      <c r="AH4" s="136">
        <v>30</v>
      </c>
      <c r="AI4" s="136">
        <v>31</v>
      </c>
      <c r="AJ4" s="136">
        <v>32</v>
      </c>
      <c r="AK4" s="136">
        <v>33</v>
      </c>
      <c r="AL4" s="136">
        <v>34</v>
      </c>
      <c r="AM4" s="136">
        <v>35</v>
      </c>
      <c r="AN4" s="136">
        <v>36</v>
      </c>
      <c r="AO4" s="136">
        <v>37</v>
      </c>
      <c r="AP4" s="136">
        <v>38</v>
      </c>
      <c r="AQ4" s="136">
        <v>39</v>
      </c>
      <c r="AR4" s="136">
        <v>40</v>
      </c>
      <c r="AS4" s="136">
        <v>41</v>
      </c>
      <c r="AT4" s="136">
        <v>42</v>
      </c>
      <c r="AU4" s="136">
        <v>43</v>
      </c>
      <c r="AV4" s="136">
        <v>44</v>
      </c>
      <c r="AW4" s="136">
        <v>45</v>
      </c>
      <c r="AX4" s="136">
        <v>46</v>
      </c>
      <c r="AY4" s="136">
        <v>47</v>
      </c>
      <c r="AZ4" s="136">
        <v>48</v>
      </c>
      <c r="BA4" s="136">
        <v>49</v>
      </c>
      <c r="BB4" s="136">
        <v>50</v>
      </c>
      <c r="BC4" s="136">
        <v>51</v>
      </c>
      <c r="BD4" s="136">
        <v>52</v>
      </c>
      <c r="BE4" s="136">
        <v>53</v>
      </c>
      <c r="BF4" s="136">
        <v>54</v>
      </c>
      <c r="BG4" s="136">
        <v>55</v>
      </c>
      <c r="BH4" s="136">
        <v>56</v>
      </c>
      <c r="BI4" s="136">
        <v>57</v>
      </c>
      <c r="BJ4" s="136">
        <v>58</v>
      </c>
      <c r="BK4" s="136">
        <v>59</v>
      </c>
      <c r="BL4" s="136">
        <v>60</v>
      </c>
      <c r="BM4" s="136">
        <v>61</v>
      </c>
      <c r="BN4" s="136">
        <v>62</v>
      </c>
      <c r="BO4" s="136">
        <v>63</v>
      </c>
      <c r="BP4" s="136">
        <v>64</v>
      </c>
      <c r="BQ4" s="136">
        <v>65</v>
      </c>
      <c r="BR4" s="136">
        <v>66</v>
      </c>
      <c r="BS4" s="136">
        <v>67</v>
      </c>
      <c r="BT4" s="136">
        <v>68</v>
      </c>
      <c r="BU4" s="136">
        <v>69</v>
      </c>
      <c r="BV4" s="136">
        <v>70</v>
      </c>
      <c r="BW4" s="136">
        <v>71</v>
      </c>
      <c r="BX4" s="136">
        <v>72</v>
      </c>
      <c r="BY4" s="136">
        <v>73</v>
      </c>
      <c r="BZ4" s="136">
        <v>74</v>
      </c>
      <c r="CA4" s="136">
        <v>75</v>
      </c>
      <c r="CB4" s="136">
        <v>76</v>
      </c>
      <c r="CC4" s="136">
        <v>77</v>
      </c>
      <c r="CD4" s="136">
        <v>78</v>
      </c>
      <c r="CE4" s="136">
        <v>79</v>
      </c>
      <c r="CF4" s="136">
        <v>80</v>
      </c>
      <c r="CG4" s="136">
        <v>81</v>
      </c>
      <c r="CH4" s="136">
        <v>82</v>
      </c>
      <c r="CI4" s="136">
        <v>83</v>
      </c>
      <c r="CJ4" s="136">
        <v>84</v>
      </c>
      <c r="CK4" s="136">
        <v>85</v>
      </c>
      <c r="CL4" s="136">
        <v>86</v>
      </c>
      <c r="CM4" s="136">
        <v>87</v>
      </c>
      <c r="CN4" s="136">
        <v>88</v>
      </c>
      <c r="CO4" s="136">
        <v>89</v>
      </c>
      <c r="CP4" s="136">
        <v>90</v>
      </c>
      <c r="CQ4" s="136">
        <v>91</v>
      </c>
      <c r="CR4" s="136">
        <v>92</v>
      </c>
      <c r="CS4" s="136">
        <v>93</v>
      </c>
      <c r="CT4" s="136">
        <v>94</v>
      </c>
      <c r="CU4" s="136">
        <v>95</v>
      </c>
      <c r="CV4" s="136">
        <v>96</v>
      </c>
      <c r="CW4" s="136">
        <v>97</v>
      </c>
      <c r="CX4" s="136">
        <v>98</v>
      </c>
      <c r="CY4" s="136">
        <v>99</v>
      </c>
      <c r="CZ4" s="136">
        <v>100</v>
      </c>
      <c r="DA4" s="136">
        <v>101</v>
      </c>
      <c r="DB4" s="136">
        <v>102</v>
      </c>
      <c r="DC4" s="136">
        <v>103</v>
      </c>
      <c r="DD4" s="136">
        <v>104</v>
      </c>
      <c r="DE4" s="136">
        <v>105</v>
      </c>
      <c r="DF4" s="136">
        <v>106</v>
      </c>
      <c r="DG4" s="136">
        <v>107</v>
      </c>
    </row>
    <row r="5" spans="1:111" x14ac:dyDescent="0.45">
      <c r="A5" s="138"/>
      <c r="B5" s="139"/>
      <c r="C5" s="140"/>
      <c r="D5" s="139"/>
      <c r="E5" s="139"/>
      <c r="F5" s="139"/>
      <c r="G5" s="139"/>
      <c r="H5" s="215" t="s">
        <v>155</v>
      </c>
      <c r="I5" s="216"/>
      <c r="J5" s="216"/>
      <c r="K5" s="216"/>
      <c r="L5" s="216"/>
      <c r="M5" s="216"/>
      <c r="N5" s="216"/>
      <c r="O5" s="217"/>
      <c r="P5" s="215" t="s">
        <v>156</v>
      </c>
      <c r="Q5" s="216"/>
      <c r="R5" s="216"/>
      <c r="S5" s="216"/>
      <c r="T5" s="216"/>
      <c r="U5" s="216"/>
      <c r="V5" s="216"/>
      <c r="W5" s="217"/>
      <c r="X5" s="215" t="s">
        <v>157</v>
      </c>
      <c r="Y5" s="216"/>
      <c r="Z5" s="216"/>
      <c r="AA5" s="216"/>
      <c r="AB5" s="216"/>
      <c r="AC5" s="216"/>
      <c r="AD5" s="216"/>
      <c r="AE5" s="217"/>
      <c r="AF5" s="215" t="s">
        <v>158</v>
      </c>
      <c r="AG5" s="216"/>
      <c r="AH5" s="216"/>
      <c r="AI5" s="216"/>
      <c r="AJ5" s="216"/>
      <c r="AK5" s="216"/>
      <c r="AL5" s="216"/>
      <c r="AM5" s="217"/>
      <c r="AN5" s="215" t="s">
        <v>159</v>
      </c>
      <c r="AO5" s="216"/>
      <c r="AP5" s="216"/>
      <c r="AQ5" s="216"/>
      <c r="AR5" s="216"/>
      <c r="AS5" s="216"/>
      <c r="AT5" s="216"/>
      <c r="AU5" s="217"/>
      <c r="AV5" s="215" t="s">
        <v>160</v>
      </c>
      <c r="AW5" s="216"/>
      <c r="AX5" s="216"/>
      <c r="AY5" s="216"/>
      <c r="AZ5" s="216"/>
      <c r="BA5" s="216"/>
      <c r="BB5" s="216"/>
      <c r="BC5" s="217"/>
      <c r="BD5" s="215" t="s">
        <v>161</v>
      </c>
      <c r="BE5" s="216"/>
      <c r="BF5" s="216"/>
      <c r="BG5" s="216"/>
      <c r="BH5" s="216"/>
      <c r="BI5" s="216"/>
      <c r="BJ5" s="216"/>
      <c r="BK5" s="217"/>
      <c r="BL5" s="215" t="s">
        <v>162</v>
      </c>
      <c r="BM5" s="216"/>
      <c r="BN5" s="216"/>
      <c r="BO5" s="216"/>
      <c r="BP5" s="216"/>
      <c r="BQ5" s="216"/>
      <c r="BR5" s="216"/>
      <c r="BS5" s="217"/>
      <c r="BT5" s="215" t="s">
        <v>163</v>
      </c>
      <c r="BU5" s="216"/>
      <c r="BV5" s="216"/>
      <c r="BW5" s="216"/>
      <c r="BX5" s="216"/>
      <c r="BY5" s="216"/>
      <c r="BZ5" s="216"/>
      <c r="CA5" s="217"/>
      <c r="CB5" s="215" t="s">
        <v>164</v>
      </c>
      <c r="CC5" s="216"/>
      <c r="CD5" s="216"/>
      <c r="CE5" s="216"/>
      <c r="CF5" s="216"/>
      <c r="CG5" s="216"/>
      <c r="CH5" s="216"/>
      <c r="CI5" s="217"/>
      <c r="CJ5" s="215" t="s">
        <v>239</v>
      </c>
      <c r="CK5" s="216"/>
      <c r="CL5" s="216"/>
      <c r="CM5" s="216"/>
      <c r="CN5" s="216"/>
      <c r="CO5" s="216"/>
      <c r="CP5" s="216"/>
      <c r="CQ5" s="217"/>
      <c r="CR5" s="215" t="s">
        <v>165</v>
      </c>
      <c r="CS5" s="216"/>
      <c r="CT5" s="216"/>
      <c r="CU5" s="216"/>
      <c r="CV5" s="216"/>
      <c r="CW5" s="216"/>
      <c r="CX5" s="216"/>
      <c r="CY5" s="217"/>
      <c r="CZ5" s="215" t="s">
        <v>166</v>
      </c>
      <c r="DA5" s="216"/>
      <c r="DB5" s="216"/>
      <c r="DC5" s="216"/>
      <c r="DD5" s="216"/>
      <c r="DE5" s="216"/>
      <c r="DF5" s="216"/>
      <c r="DG5" s="217"/>
    </row>
    <row r="6" spans="1:111" ht="14.65" thickBot="1" x14ac:dyDescent="0.5">
      <c r="A6" s="141" t="s">
        <v>240</v>
      </c>
      <c r="B6" s="142" t="s">
        <v>241</v>
      </c>
      <c r="C6" s="143" t="s">
        <v>242</v>
      </c>
      <c r="D6" s="142" t="s">
        <v>243</v>
      </c>
      <c r="E6" s="142" t="s">
        <v>167</v>
      </c>
      <c r="F6" s="142" t="s">
        <v>168</v>
      </c>
      <c r="G6" s="142" t="s">
        <v>169</v>
      </c>
      <c r="H6" s="144" t="s">
        <v>170</v>
      </c>
      <c r="I6" s="144" t="s">
        <v>171</v>
      </c>
      <c r="J6" s="144" t="s">
        <v>172</v>
      </c>
      <c r="K6" s="144" t="s">
        <v>173</v>
      </c>
      <c r="L6" s="144" t="s">
        <v>174</v>
      </c>
      <c r="M6" s="144" t="s">
        <v>175</v>
      </c>
      <c r="N6" s="144" t="s">
        <v>176</v>
      </c>
      <c r="O6" s="144" t="s">
        <v>177</v>
      </c>
      <c r="P6" s="144" t="s">
        <v>170</v>
      </c>
      <c r="Q6" s="144" t="s">
        <v>171</v>
      </c>
      <c r="R6" s="144" t="s">
        <v>172</v>
      </c>
      <c r="S6" s="144" t="s">
        <v>173</v>
      </c>
      <c r="T6" s="144" t="s">
        <v>174</v>
      </c>
      <c r="U6" s="144" t="s">
        <v>175</v>
      </c>
      <c r="V6" s="144" t="s">
        <v>176</v>
      </c>
      <c r="W6" s="144" t="s">
        <v>177</v>
      </c>
      <c r="X6" s="144" t="s">
        <v>170</v>
      </c>
      <c r="Y6" s="144" t="s">
        <v>171</v>
      </c>
      <c r="Z6" s="144" t="s">
        <v>172</v>
      </c>
      <c r="AA6" s="144" t="s">
        <v>173</v>
      </c>
      <c r="AB6" s="144" t="s">
        <v>174</v>
      </c>
      <c r="AC6" s="144" t="s">
        <v>175</v>
      </c>
      <c r="AD6" s="144" t="s">
        <v>176</v>
      </c>
      <c r="AE6" s="144" t="s">
        <v>177</v>
      </c>
      <c r="AF6" s="144" t="s">
        <v>170</v>
      </c>
      <c r="AG6" s="144" t="s">
        <v>171</v>
      </c>
      <c r="AH6" s="144" t="s">
        <v>172</v>
      </c>
      <c r="AI6" s="144" t="s">
        <v>173</v>
      </c>
      <c r="AJ6" s="144" t="s">
        <v>174</v>
      </c>
      <c r="AK6" s="144" t="s">
        <v>175</v>
      </c>
      <c r="AL6" s="144" t="s">
        <v>176</v>
      </c>
      <c r="AM6" s="144" t="s">
        <v>177</v>
      </c>
      <c r="AN6" s="144" t="s">
        <v>170</v>
      </c>
      <c r="AO6" s="144" t="s">
        <v>171</v>
      </c>
      <c r="AP6" s="144" t="s">
        <v>172</v>
      </c>
      <c r="AQ6" s="144" t="s">
        <v>173</v>
      </c>
      <c r="AR6" s="144" t="s">
        <v>174</v>
      </c>
      <c r="AS6" s="144" t="s">
        <v>175</v>
      </c>
      <c r="AT6" s="144" t="s">
        <v>176</v>
      </c>
      <c r="AU6" s="144" t="s">
        <v>177</v>
      </c>
      <c r="AV6" s="144" t="s">
        <v>170</v>
      </c>
      <c r="AW6" s="144" t="s">
        <v>171</v>
      </c>
      <c r="AX6" s="144" t="s">
        <v>172</v>
      </c>
      <c r="AY6" s="144" t="s">
        <v>173</v>
      </c>
      <c r="AZ6" s="144" t="s">
        <v>174</v>
      </c>
      <c r="BA6" s="144" t="s">
        <v>175</v>
      </c>
      <c r="BB6" s="144" t="s">
        <v>176</v>
      </c>
      <c r="BC6" s="144" t="s">
        <v>177</v>
      </c>
      <c r="BD6" s="144" t="s">
        <v>170</v>
      </c>
      <c r="BE6" s="144" t="s">
        <v>171</v>
      </c>
      <c r="BF6" s="144" t="s">
        <v>172</v>
      </c>
      <c r="BG6" s="144" t="s">
        <v>173</v>
      </c>
      <c r="BH6" s="144" t="s">
        <v>174</v>
      </c>
      <c r="BI6" s="144" t="s">
        <v>175</v>
      </c>
      <c r="BJ6" s="144" t="s">
        <v>176</v>
      </c>
      <c r="BK6" s="144" t="s">
        <v>177</v>
      </c>
      <c r="BL6" s="144" t="s">
        <v>170</v>
      </c>
      <c r="BM6" s="144" t="s">
        <v>171</v>
      </c>
      <c r="BN6" s="144" t="s">
        <v>172</v>
      </c>
      <c r="BO6" s="144" t="s">
        <v>173</v>
      </c>
      <c r="BP6" s="144" t="s">
        <v>174</v>
      </c>
      <c r="BQ6" s="144" t="s">
        <v>175</v>
      </c>
      <c r="BR6" s="144" t="s">
        <v>176</v>
      </c>
      <c r="BS6" s="144" t="s">
        <v>177</v>
      </c>
      <c r="BT6" s="144" t="s">
        <v>170</v>
      </c>
      <c r="BU6" s="144" t="s">
        <v>171</v>
      </c>
      <c r="BV6" s="144" t="s">
        <v>172</v>
      </c>
      <c r="BW6" s="144" t="s">
        <v>173</v>
      </c>
      <c r="BX6" s="144" t="s">
        <v>174</v>
      </c>
      <c r="BY6" s="144" t="s">
        <v>175</v>
      </c>
      <c r="BZ6" s="144" t="s">
        <v>176</v>
      </c>
      <c r="CA6" s="144" t="s">
        <v>177</v>
      </c>
      <c r="CB6" s="144" t="s">
        <v>170</v>
      </c>
      <c r="CC6" s="144" t="s">
        <v>171</v>
      </c>
      <c r="CD6" s="144" t="s">
        <v>172</v>
      </c>
      <c r="CE6" s="144" t="s">
        <v>173</v>
      </c>
      <c r="CF6" s="144" t="s">
        <v>174</v>
      </c>
      <c r="CG6" s="144" t="s">
        <v>175</v>
      </c>
      <c r="CH6" s="144" t="s">
        <v>176</v>
      </c>
      <c r="CI6" s="144" t="s">
        <v>177</v>
      </c>
      <c r="CJ6" s="144" t="s">
        <v>170</v>
      </c>
      <c r="CK6" s="144" t="s">
        <v>171</v>
      </c>
      <c r="CL6" s="144" t="s">
        <v>172</v>
      </c>
      <c r="CM6" s="144" t="s">
        <v>173</v>
      </c>
      <c r="CN6" s="144" t="s">
        <v>174</v>
      </c>
      <c r="CO6" s="144" t="s">
        <v>175</v>
      </c>
      <c r="CP6" s="144" t="s">
        <v>176</v>
      </c>
      <c r="CQ6" s="144" t="s">
        <v>177</v>
      </c>
      <c r="CR6" s="144" t="s">
        <v>170</v>
      </c>
      <c r="CS6" s="144" t="s">
        <v>171</v>
      </c>
      <c r="CT6" s="144" t="s">
        <v>172</v>
      </c>
      <c r="CU6" s="144" t="s">
        <v>173</v>
      </c>
      <c r="CV6" s="144" t="s">
        <v>174</v>
      </c>
      <c r="CW6" s="144" t="s">
        <v>175</v>
      </c>
      <c r="CX6" s="144" t="s">
        <v>176</v>
      </c>
      <c r="CY6" s="144" t="s">
        <v>177</v>
      </c>
      <c r="CZ6" s="144" t="s">
        <v>170</v>
      </c>
      <c r="DA6" s="144" t="s">
        <v>171</v>
      </c>
      <c r="DB6" s="144" t="s">
        <v>172</v>
      </c>
      <c r="DC6" s="144" t="s">
        <v>173</v>
      </c>
      <c r="DD6" s="144" t="s">
        <v>174</v>
      </c>
      <c r="DE6" s="144" t="s">
        <v>175</v>
      </c>
      <c r="DF6" s="144" t="s">
        <v>176</v>
      </c>
      <c r="DG6" s="145" t="s">
        <v>177</v>
      </c>
    </row>
    <row r="7" spans="1:111" ht="14.65" thickBot="1" x14ac:dyDescent="0.5">
      <c r="A7" s="146" t="s">
        <v>244</v>
      </c>
      <c r="B7" s="147" t="s">
        <v>245</v>
      </c>
      <c r="C7" s="147" t="s">
        <v>246</v>
      </c>
      <c r="D7" s="147" t="s">
        <v>247</v>
      </c>
      <c r="E7" s="254" t="s">
        <v>69</v>
      </c>
      <c r="F7" s="254" t="s">
        <v>178</v>
      </c>
      <c r="G7" s="254" t="s">
        <v>179</v>
      </c>
      <c r="H7" s="255">
        <v>7</v>
      </c>
      <c r="I7" s="255">
        <v>7</v>
      </c>
      <c r="J7" s="255">
        <v>0</v>
      </c>
      <c r="K7" s="255">
        <v>12</v>
      </c>
      <c r="L7" s="255">
        <v>177.78</v>
      </c>
      <c r="M7" s="255">
        <v>171.43</v>
      </c>
      <c r="N7" s="255">
        <v>0</v>
      </c>
      <c r="O7" s="255">
        <v>100</v>
      </c>
      <c r="P7" s="255">
        <v>4</v>
      </c>
      <c r="Q7" s="255">
        <v>4</v>
      </c>
      <c r="R7" s="255">
        <v>0</v>
      </c>
      <c r="S7" s="255">
        <v>6</v>
      </c>
      <c r="T7" s="255">
        <v>155.56</v>
      </c>
      <c r="U7" s="255">
        <v>150</v>
      </c>
      <c r="V7" s="255">
        <v>0</v>
      </c>
      <c r="W7" s="255">
        <v>100</v>
      </c>
      <c r="X7" s="255">
        <v>2</v>
      </c>
      <c r="Y7" s="255">
        <v>2</v>
      </c>
      <c r="Z7" s="255">
        <v>0</v>
      </c>
      <c r="AA7" s="255">
        <v>0</v>
      </c>
      <c r="AB7" s="255">
        <v>0</v>
      </c>
      <c r="AC7" s="255">
        <v>0</v>
      </c>
      <c r="AD7" s="255">
        <v>0</v>
      </c>
      <c r="AE7" s="255">
        <v>100</v>
      </c>
      <c r="AF7" s="255">
        <v>4</v>
      </c>
      <c r="AG7" s="255">
        <v>4</v>
      </c>
      <c r="AH7" s="255">
        <v>0</v>
      </c>
      <c r="AI7" s="255">
        <v>3</v>
      </c>
      <c r="AJ7" s="255">
        <v>122.22</v>
      </c>
      <c r="AK7" s="255">
        <v>125</v>
      </c>
      <c r="AL7" s="255">
        <v>0</v>
      </c>
      <c r="AM7" s="255">
        <v>100</v>
      </c>
      <c r="AN7" s="255">
        <v>4</v>
      </c>
      <c r="AO7" s="255">
        <v>4</v>
      </c>
      <c r="AP7" s="255">
        <v>0</v>
      </c>
      <c r="AQ7" s="255">
        <v>0</v>
      </c>
      <c r="AR7" s="255">
        <v>0</v>
      </c>
      <c r="AS7" s="255">
        <v>0</v>
      </c>
      <c r="AT7" s="255">
        <v>1</v>
      </c>
      <c r="AU7" s="255">
        <v>-100</v>
      </c>
      <c r="AV7" s="255">
        <v>34</v>
      </c>
      <c r="AW7" s="255">
        <v>35</v>
      </c>
      <c r="AX7" s="255">
        <v>0</v>
      </c>
      <c r="AY7" s="255">
        <v>52</v>
      </c>
      <c r="AZ7" s="255">
        <v>154.07</v>
      </c>
      <c r="BA7" s="255">
        <v>148.57</v>
      </c>
      <c r="BB7" s="255">
        <v>0</v>
      </c>
      <c r="BC7" s="255">
        <v>100</v>
      </c>
      <c r="BD7" s="255">
        <v>5</v>
      </c>
      <c r="BE7" s="255">
        <v>5</v>
      </c>
      <c r="BF7" s="255">
        <v>1</v>
      </c>
      <c r="BG7" s="255">
        <v>5</v>
      </c>
      <c r="BH7" s="255">
        <v>103.7</v>
      </c>
      <c r="BI7" s="255">
        <v>100</v>
      </c>
      <c r="BJ7" s="255">
        <v>0</v>
      </c>
      <c r="BK7" s="255">
        <v>100</v>
      </c>
      <c r="BL7" s="255">
        <v>0</v>
      </c>
      <c r="BM7" s="255">
        <v>0</v>
      </c>
      <c r="BN7" s="255">
        <v>0</v>
      </c>
      <c r="BO7" s="255">
        <v>0</v>
      </c>
      <c r="BP7" s="255">
        <v>100</v>
      </c>
      <c r="BQ7" s="255">
        <v>100</v>
      </c>
      <c r="BR7" s="255">
        <v>0</v>
      </c>
      <c r="BS7" s="255">
        <v>100</v>
      </c>
      <c r="BT7" s="255">
        <v>1</v>
      </c>
      <c r="BU7" s="255">
        <v>1</v>
      </c>
      <c r="BV7" s="255">
        <v>0</v>
      </c>
      <c r="BW7" s="255">
        <v>1</v>
      </c>
      <c r="BX7" s="255">
        <v>103.7</v>
      </c>
      <c r="BY7" s="255">
        <v>100</v>
      </c>
      <c r="BZ7" s="255">
        <v>0</v>
      </c>
      <c r="CA7" s="255">
        <v>100</v>
      </c>
      <c r="CB7" s="255">
        <v>8</v>
      </c>
      <c r="CC7" s="255">
        <v>8</v>
      </c>
      <c r="CD7" s="255">
        <v>0</v>
      </c>
      <c r="CE7" s="255">
        <v>6</v>
      </c>
      <c r="CF7" s="255">
        <v>77.78</v>
      </c>
      <c r="CG7" s="255">
        <v>75</v>
      </c>
      <c r="CH7" s="255">
        <v>0</v>
      </c>
      <c r="CI7" s="255">
        <v>100</v>
      </c>
      <c r="CJ7" s="255">
        <v>4</v>
      </c>
      <c r="CK7" s="255">
        <v>4</v>
      </c>
      <c r="CL7" s="255">
        <v>0</v>
      </c>
      <c r="CM7" s="255">
        <v>9</v>
      </c>
      <c r="CN7" s="255">
        <v>233.33</v>
      </c>
      <c r="CO7" s="255">
        <v>225</v>
      </c>
      <c r="CP7" s="255">
        <v>0</v>
      </c>
      <c r="CQ7" s="255">
        <v>100</v>
      </c>
      <c r="CR7" s="255">
        <v>4</v>
      </c>
      <c r="CS7" s="255">
        <v>4</v>
      </c>
      <c r="CT7" s="255">
        <v>0</v>
      </c>
      <c r="CU7" s="255">
        <v>5</v>
      </c>
      <c r="CV7" s="255">
        <v>129.63</v>
      </c>
      <c r="CW7" s="255">
        <v>125</v>
      </c>
      <c r="CX7" s="255">
        <v>0</v>
      </c>
      <c r="CY7" s="255">
        <v>100</v>
      </c>
      <c r="CZ7" s="255">
        <v>1</v>
      </c>
      <c r="DA7" s="255">
        <v>1</v>
      </c>
      <c r="DB7" s="255">
        <v>0</v>
      </c>
      <c r="DC7" s="255">
        <v>6</v>
      </c>
      <c r="DD7" s="255">
        <v>622.22</v>
      </c>
      <c r="DE7" s="255">
        <v>600</v>
      </c>
      <c r="DF7" s="255">
        <v>1</v>
      </c>
      <c r="DG7" s="255">
        <v>500</v>
      </c>
    </row>
    <row r="8" spans="1:111" ht="14.65" thickBot="1" x14ac:dyDescent="0.5">
      <c r="A8" s="146" t="s">
        <v>244</v>
      </c>
      <c r="B8" s="147" t="s">
        <v>245</v>
      </c>
      <c r="C8" s="147" t="s">
        <v>246</v>
      </c>
      <c r="D8" s="147" t="s">
        <v>247</v>
      </c>
      <c r="E8" s="254" t="s">
        <v>72</v>
      </c>
      <c r="F8" s="254" t="s">
        <v>180</v>
      </c>
      <c r="G8" s="254" t="s">
        <v>129</v>
      </c>
      <c r="H8" s="255">
        <v>7</v>
      </c>
      <c r="I8" s="255">
        <v>7</v>
      </c>
      <c r="J8" s="255">
        <v>0</v>
      </c>
      <c r="K8" s="255">
        <v>13</v>
      </c>
      <c r="L8" s="255">
        <v>192.59</v>
      </c>
      <c r="M8" s="255">
        <v>185.71</v>
      </c>
      <c r="N8" s="255">
        <v>0</v>
      </c>
      <c r="O8" s="255">
        <v>100</v>
      </c>
      <c r="P8" s="255">
        <v>4</v>
      </c>
      <c r="Q8" s="255">
        <v>4</v>
      </c>
      <c r="R8" s="255">
        <v>0</v>
      </c>
      <c r="S8" s="255">
        <v>5</v>
      </c>
      <c r="T8" s="255">
        <v>129.63</v>
      </c>
      <c r="U8" s="255">
        <v>125</v>
      </c>
      <c r="V8" s="255">
        <v>0</v>
      </c>
      <c r="W8" s="255">
        <v>100</v>
      </c>
      <c r="X8" s="255">
        <v>3</v>
      </c>
      <c r="Y8" s="255">
        <v>3</v>
      </c>
      <c r="Z8" s="255">
        <v>0</v>
      </c>
      <c r="AA8" s="255">
        <v>0</v>
      </c>
      <c r="AB8" s="255">
        <v>0</v>
      </c>
      <c r="AC8" s="255">
        <v>0</v>
      </c>
      <c r="AD8" s="255">
        <v>0</v>
      </c>
      <c r="AE8" s="255">
        <v>100</v>
      </c>
      <c r="AF8" s="255">
        <v>5</v>
      </c>
      <c r="AG8" s="255">
        <v>5</v>
      </c>
      <c r="AH8" s="255">
        <v>0</v>
      </c>
      <c r="AI8" s="255">
        <v>5</v>
      </c>
      <c r="AJ8" s="255">
        <v>96.3</v>
      </c>
      <c r="AK8" s="255">
        <v>100</v>
      </c>
      <c r="AL8" s="255">
        <v>1</v>
      </c>
      <c r="AM8" s="255">
        <v>400</v>
      </c>
      <c r="AN8" s="255">
        <v>4</v>
      </c>
      <c r="AO8" s="255">
        <v>4</v>
      </c>
      <c r="AP8" s="255">
        <v>0</v>
      </c>
      <c r="AQ8" s="255">
        <v>0</v>
      </c>
      <c r="AR8" s="255">
        <v>0</v>
      </c>
      <c r="AS8" s="255">
        <v>0</v>
      </c>
      <c r="AT8" s="255">
        <v>0</v>
      </c>
      <c r="AU8" s="255">
        <v>100</v>
      </c>
      <c r="AV8" s="255">
        <v>29</v>
      </c>
      <c r="AW8" s="255">
        <v>30</v>
      </c>
      <c r="AX8" s="255">
        <v>0</v>
      </c>
      <c r="AY8" s="255">
        <v>71</v>
      </c>
      <c r="AZ8" s="255">
        <v>245.43</v>
      </c>
      <c r="BA8" s="255">
        <v>236.67</v>
      </c>
      <c r="BB8" s="255">
        <v>3</v>
      </c>
      <c r="BC8" s="255">
        <v>2266.67</v>
      </c>
      <c r="BD8" s="255">
        <v>5</v>
      </c>
      <c r="BE8" s="255">
        <v>5</v>
      </c>
      <c r="BF8" s="255">
        <v>1</v>
      </c>
      <c r="BG8" s="255">
        <v>5</v>
      </c>
      <c r="BH8" s="255">
        <v>103.7</v>
      </c>
      <c r="BI8" s="255">
        <v>100</v>
      </c>
      <c r="BJ8" s="255">
        <v>0</v>
      </c>
      <c r="BK8" s="255">
        <v>100</v>
      </c>
      <c r="BL8" s="255">
        <v>1</v>
      </c>
      <c r="BM8" s="255">
        <v>1</v>
      </c>
      <c r="BN8" s="255">
        <v>0</v>
      </c>
      <c r="BO8" s="255">
        <v>0</v>
      </c>
      <c r="BP8" s="255">
        <v>0</v>
      </c>
      <c r="BQ8" s="255">
        <v>0</v>
      </c>
      <c r="BR8" s="255">
        <v>0</v>
      </c>
      <c r="BS8" s="255">
        <v>100</v>
      </c>
      <c r="BT8" s="255">
        <v>1</v>
      </c>
      <c r="BU8" s="255">
        <v>1</v>
      </c>
      <c r="BV8" s="255">
        <v>1</v>
      </c>
      <c r="BW8" s="255">
        <v>1</v>
      </c>
      <c r="BX8" s="255">
        <v>103.7</v>
      </c>
      <c r="BY8" s="255">
        <v>100</v>
      </c>
      <c r="BZ8" s="255">
        <v>0</v>
      </c>
      <c r="CA8" s="255">
        <v>100</v>
      </c>
      <c r="CB8" s="255">
        <v>8</v>
      </c>
      <c r="CC8" s="255">
        <v>8</v>
      </c>
      <c r="CD8" s="255">
        <v>0</v>
      </c>
      <c r="CE8" s="255">
        <v>10</v>
      </c>
      <c r="CF8" s="255">
        <v>129.63</v>
      </c>
      <c r="CG8" s="255">
        <v>125</v>
      </c>
      <c r="CH8" s="255">
        <v>0</v>
      </c>
      <c r="CI8" s="255">
        <v>100</v>
      </c>
      <c r="CJ8" s="255">
        <v>4</v>
      </c>
      <c r="CK8" s="255">
        <v>4</v>
      </c>
      <c r="CL8" s="255">
        <v>0</v>
      </c>
      <c r="CM8" s="255">
        <v>7</v>
      </c>
      <c r="CN8" s="255">
        <v>181.48</v>
      </c>
      <c r="CO8" s="255">
        <v>175</v>
      </c>
      <c r="CP8" s="255">
        <v>0</v>
      </c>
      <c r="CQ8" s="255">
        <v>100</v>
      </c>
      <c r="CR8" s="255">
        <v>4</v>
      </c>
      <c r="CS8" s="255">
        <v>4</v>
      </c>
      <c r="CT8" s="255">
        <v>0</v>
      </c>
      <c r="CU8" s="255">
        <v>4</v>
      </c>
      <c r="CV8" s="255">
        <v>103.7</v>
      </c>
      <c r="CW8" s="255">
        <v>100</v>
      </c>
      <c r="CX8" s="255">
        <v>1</v>
      </c>
      <c r="CY8" s="255">
        <v>300</v>
      </c>
      <c r="CZ8" s="255">
        <v>1</v>
      </c>
      <c r="DA8" s="255">
        <v>1</v>
      </c>
      <c r="DB8" s="255">
        <v>0</v>
      </c>
      <c r="DC8" s="255">
        <v>6</v>
      </c>
      <c r="DD8" s="255">
        <v>622.22</v>
      </c>
      <c r="DE8" s="255">
        <v>600</v>
      </c>
      <c r="DF8" s="255">
        <v>1</v>
      </c>
      <c r="DG8" s="255">
        <v>500</v>
      </c>
    </row>
    <row r="9" spans="1:111" ht="14.65" thickBot="1" x14ac:dyDescent="0.5">
      <c r="A9" s="146" t="s">
        <v>244</v>
      </c>
      <c r="B9" s="147" t="s">
        <v>245</v>
      </c>
      <c r="C9" s="147" t="s">
        <v>246</v>
      </c>
      <c r="D9" s="147" t="s">
        <v>247</v>
      </c>
      <c r="E9" s="254" t="s">
        <v>75</v>
      </c>
      <c r="F9" s="254" t="s">
        <v>181</v>
      </c>
      <c r="G9" s="254" t="s">
        <v>129</v>
      </c>
      <c r="H9" s="255">
        <v>7</v>
      </c>
      <c r="I9" s="255">
        <v>7</v>
      </c>
      <c r="J9" s="255">
        <v>0</v>
      </c>
      <c r="K9" s="255">
        <v>12</v>
      </c>
      <c r="L9" s="255">
        <v>177.78</v>
      </c>
      <c r="M9" s="255">
        <v>171.43</v>
      </c>
      <c r="N9" s="255">
        <v>0</v>
      </c>
      <c r="O9" s="255">
        <v>100</v>
      </c>
      <c r="P9" s="255">
        <v>4</v>
      </c>
      <c r="Q9" s="255">
        <v>4</v>
      </c>
      <c r="R9" s="255">
        <v>0</v>
      </c>
      <c r="S9" s="255">
        <v>4</v>
      </c>
      <c r="T9" s="255">
        <v>103.7</v>
      </c>
      <c r="U9" s="255">
        <v>100</v>
      </c>
      <c r="V9" s="255">
        <v>0</v>
      </c>
      <c r="W9" s="255">
        <v>100</v>
      </c>
      <c r="X9" s="255">
        <v>3</v>
      </c>
      <c r="Y9" s="255">
        <v>3</v>
      </c>
      <c r="Z9" s="255">
        <v>0</v>
      </c>
      <c r="AA9" s="255">
        <v>1</v>
      </c>
      <c r="AB9" s="255">
        <v>34.57</v>
      </c>
      <c r="AC9" s="255">
        <v>33.33</v>
      </c>
      <c r="AD9" s="255">
        <v>1</v>
      </c>
      <c r="AE9" s="255">
        <v>0</v>
      </c>
      <c r="AF9" s="255">
        <v>5</v>
      </c>
      <c r="AG9" s="255">
        <v>5</v>
      </c>
      <c r="AH9" s="255">
        <v>0</v>
      </c>
      <c r="AI9" s="255">
        <v>3</v>
      </c>
      <c r="AJ9" s="255">
        <v>137.78</v>
      </c>
      <c r="AK9" s="255">
        <v>140</v>
      </c>
      <c r="AL9" s="255">
        <v>0</v>
      </c>
      <c r="AM9" s="255">
        <v>100</v>
      </c>
      <c r="AN9" s="255">
        <v>4</v>
      </c>
      <c r="AO9" s="255">
        <v>4</v>
      </c>
      <c r="AP9" s="255">
        <v>0</v>
      </c>
      <c r="AQ9" s="255">
        <v>0</v>
      </c>
      <c r="AR9" s="255">
        <v>0</v>
      </c>
      <c r="AS9" s="255">
        <v>0</v>
      </c>
      <c r="AT9" s="255">
        <v>0</v>
      </c>
      <c r="AU9" s="255">
        <v>100</v>
      </c>
      <c r="AV9" s="255">
        <v>29</v>
      </c>
      <c r="AW9" s="255">
        <v>30</v>
      </c>
      <c r="AX9" s="255">
        <v>0</v>
      </c>
      <c r="AY9" s="255">
        <v>30</v>
      </c>
      <c r="AZ9" s="255">
        <v>103.7</v>
      </c>
      <c r="BA9" s="255">
        <v>100</v>
      </c>
      <c r="BB9" s="255">
        <v>0</v>
      </c>
      <c r="BC9" s="255">
        <v>100</v>
      </c>
      <c r="BD9" s="255">
        <v>5</v>
      </c>
      <c r="BE9" s="255">
        <v>5</v>
      </c>
      <c r="BF9" s="255">
        <v>1</v>
      </c>
      <c r="BG9" s="255">
        <v>5</v>
      </c>
      <c r="BH9" s="255">
        <v>103.7</v>
      </c>
      <c r="BI9" s="255">
        <v>100</v>
      </c>
      <c r="BJ9" s="255">
        <v>0</v>
      </c>
      <c r="BK9" s="255">
        <v>100</v>
      </c>
      <c r="BL9" s="255">
        <v>0</v>
      </c>
      <c r="BM9" s="255">
        <v>0</v>
      </c>
      <c r="BN9" s="255">
        <v>0</v>
      </c>
      <c r="BO9" s="255">
        <v>0</v>
      </c>
      <c r="BP9" s="255">
        <v>100</v>
      </c>
      <c r="BQ9" s="255">
        <v>100</v>
      </c>
      <c r="BR9" s="255">
        <v>0</v>
      </c>
      <c r="BS9" s="255">
        <v>100</v>
      </c>
      <c r="BT9" s="255">
        <v>1</v>
      </c>
      <c r="BU9" s="255">
        <v>1</v>
      </c>
      <c r="BV9" s="255">
        <v>0</v>
      </c>
      <c r="BW9" s="255">
        <v>1</v>
      </c>
      <c r="BX9" s="255">
        <v>103.7</v>
      </c>
      <c r="BY9" s="255">
        <v>100</v>
      </c>
      <c r="BZ9" s="255">
        <v>0</v>
      </c>
      <c r="CA9" s="255">
        <v>100</v>
      </c>
      <c r="CB9" s="255">
        <v>8</v>
      </c>
      <c r="CC9" s="255">
        <v>8</v>
      </c>
      <c r="CD9" s="255">
        <v>0</v>
      </c>
      <c r="CE9" s="255">
        <v>12</v>
      </c>
      <c r="CF9" s="255">
        <v>155.56</v>
      </c>
      <c r="CG9" s="255">
        <v>150</v>
      </c>
      <c r="CH9" s="255">
        <v>0</v>
      </c>
      <c r="CI9" s="255">
        <v>100</v>
      </c>
      <c r="CJ9" s="255">
        <v>4</v>
      </c>
      <c r="CK9" s="255">
        <v>4</v>
      </c>
      <c r="CL9" s="255">
        <v>0</v>
      </c>
      <c r="CM9" s="255">
        <v>4</v>
      </c>
      <c r="CN9" s="255">
        <v>103.7</v>
      </c>
      <c r="CO9" s="255">
        <v>100</v>
      </c>
      <c r="CP9" s="255">
        <v>0</v>
      </c>
      <c r="CQ9" s="255">
        <v>100</v>
      </c>
      <c r="CR9" s="255">
        <v>3</v>
      </c>
      <c r="CS9" s="255">
        <v>3</v>
      </c>
      <c r="CT9" s="255">
        <v>0</v>
      </c>
      <c r="CU9" s="255">
        <v>5</v>
      </c>
      <c r="CV9" s="255">
        <v>172.84</v>
      </c>
      <c r="CW9" s="255">
        <v>166.67</v>
      </c>
      <c r="CX9" s="255">
        <v>0</v>
      </c>
      <c r="CY9" s="255">
        <v>100</v>
      </c>
      <c r="CZ9" s="255">
        <v>1</v>
      </c>
      <c r="DA9" s="255">
        <v>1</v>
      </c>
      <c r="DB9" s="255">
        <v>0</v>
      </c>
      <c r="DC9" s="255">
        <v>3</v>
      </c>
      <c r="DD9" s="255">
        <v>311.11</v>
      </c>
      <c r="DE9" s="255">
        <v>300</v>
      </c>
      <c r="DF9" s="255">
        <v>0</v>
      </c>
      <c r="DG9" s="255">
        <v>100</v>
      </c>
    </row>
    <row r="10" spans="1:111" ht="14.65" thickBot="1" x14ac:dyDescent="0.5">
      <c r="A10" s="146" t="s">
        <v>244</v>
      </c>
      <c r="B10" s="147" t="s">
        <v>245</v>
      </c>
      <c r="C10" s="147" t="s">
        <v>246</v>
      </c>
      <c r="D10" s="147" t="s">
        <v>247</v>
      </c>
      <c r="E10" s="254" t="s">
        <v>78</v>
      </c>
      <c r="F10" s="254" t="s">
        <v>182</v>
      </c>
      <c r="G10" s="254" t="s">
        <v>129</v>
      </c>
      <c r="H10" s="255">
        <v>7</v>
      </c>
      <c r="I10" s="255">
        <v>7</v>
      </c>
      <c r="J10" s="255">
        <v>0</v>
      </c>
      <c r="K10" s="255">
        <v>5</v>
      </c>
      <c r="L10" s="255">
        <v>74.069999999999993</v>
      </c>
      <c r="M10" s="255">
        <v>71.430000000000007</v>
      </c>
      <c r="N10" s="255">
        <v>0</v>
      </c>
      <c r="O10" s="255">
        <v>100</v>
      </c>
      <c r="P10" s="255">
        <v>3</v>
      </c>
      <c r="Q10" s="255">
        <v>3</v>
      </c>
      <c r="R10" s="255">
        <v>0</v>
      </c>
      <c r="S10" s="255">
        <v>4</v>
      </c>
      <c r="T10" s="255">
        <v>138.27000000000001</v>
      </c>
      <c r="U10" s="255">
        <v>133.33000000000001</v>
      </c>
      <c r="V10" s="255">
        <v>0</v>
      </c>
      <c r="W10" s="255">
        <v>100</v>
      </c>
      <c r="X10" s="255">
        <v>1</v>
      </c>
      <c r="Y10" s="255">
        <v>1</v>
      </c>
      <c r="Z10" s="255">
        <v>0</v>
      </c>
      <c r="AA10" s="255">
        <v>0</v>
      </c>
      <c r="AB10" s="255">
        <v>0</v>
      </c>
      <c r="AC10" s="255">
        <v>0</v>
      </c>
      <c r="AD10" s="255">
        <v>1</v>
      </c>
      <c r="AE10" s="255">
        <v>-100</v>
      </c>
      <c r="AF10" s="255">
        <v>3</v>
      </c>
      <c r="AG10" s="255">
        <v>3</v>
      </c>
      <c r="AH10" s="255">
        <v>0</v>
      </c>
      <c r="AI10" s="255">
        <v>1</v>
      </c>
      <c r="AJ10" s="255">
        <v>165.43</v>
      </c>
      <c r="AK10" s="255">
        <v>166.67</v>
      </c>
      <c r="AL10" s="255">
        <v>0</v>
      </c>
      <c r="AM10" s="255">
        <v>100</v>
      </c>
      <c r="AN10" s="255">
        <v>4</v>
      </c>
      <c r="AO10" s="255">
        <v>4</v>
      </c>
      <c r="AP10" s="255">
        <v>0</v>
      </c>
      <c r="AQ10" s="255">
        <v>0</v>
      </c>
      <c r="AR10" s="255">
        <v>0</v>
      </c>
      <c r="AS10" s="255">
        <v>0</v>
      </c>
      <c r="AT10" s="255">
        <v>0</v>
      </c>
      <c r="AU10" s="255">
        <v>100</v>
      </c>
      <c r="AV10" s="255">
        <v>29</v>
      </c>
      <c r="AW10" s="255">
        <v>30</v>
      </c>
      <c r="AX10" s="255">
        <v>0</v>
      </c>
      <c r="AY10" s="255">
        <v>9</v>
      </c>
      <c r="AZ10" s="255">
        <v>31.11</v>
      </c>
      <c r="BA10" s="255">
        <v>30</v>
      </c>
      <c r="BB10" s="255">
        <v>3</v>
      </c>
      <c r="BC10" s="255">
        <v>200</v>
      </c>
      <c r="BD10" s="255">
        <v>4</v>
      </c>
      <c r="BE10" s="255">
        <v>4</v>
      </c>
      <c r="BF10" s="255">
        <v>0</v>
      </c>
      <c r="BG10" s="255">
        <v>2</v>
      </c>
      <c r="BH10" s="255">
        <v>51.85</v>
      </c>
      <c r="BI10" s="255">
        <v>50</v>
      </c>
      <c r="BJ10" s="255">
        <v>0</v>
      </c>
      <c r="BK10" s="255">
        <v>100</v>
      </c>
      <c r="BL10" s="255">
        <v>0</v>
      </c>
      <c r="BM10" s="255">
        <v>0</v>
      </c>
      <c r="BN10" s="255">
        <v>0</v>
      </c>
      <c r="BO10" s="255">
        <v>0</v>
      </c>
      <c r="BP10" s="255">
        <v>100</v>
      </c>
      <c r="BQ10" s="255">
        <v>100</v>
      </c>
      <c r="BR10" s="255">
        <v>0</v>
      </c>
      <c r="BS10" s="255">
        <v>100</v>
      </c>
      <c r="BT10" s="255">
        <v>1</v>
      </c>
      <c r="BU10" s="255">
        <v>1</v>
      </c>
      <c r="BV10" s="255">
        <v>0</v>
      </c>
      <c r="BW10" s="255">
        <v>0</v>
      </c>
      <c r="BX10" s="255">
        <v>0</v>
      </c>
      <c r="BY10" s="255">
        <v>0</v>
      </c>
      <c r="BZ10" s="255">
        <v>0</v>
      </c>
      <c r="CA10" s="255">
        <v>100</v>
      </c>
      <c r="CB10" s="255">
        <v>8</v>
      </c>
      <c r="CC10" s="255">
        <v>8</v>
      </c>
      <c r="CD10" s="255">
        <v>0</v>
      </c>
      <c r="CE10" s="255">
        <v>0</v>
      </c>
      <c r="CF10" s="255">
        <v>0</v>
      </c>
      <c r="CG10" s="255">
        <v>0</v>
      </c>
      <c r="CH10" s="255">
        <v>0</v>
      </c>
      <c r="CI10" s="255">
        <v>100</v>
      </c>
      <c r="CJ10" s="255">
        <v>4</v>
      </c>
      <c r="CK10" s="255">
        <v>4</v>
      </c>
      <c r="CL10" s="255">
        <v>0</v>
      </c>
      <c r="CM10" s="255">
        <v>3</v>
      </c>
      <c r="CN10" s="255">
        <v>77.78</v>
      </c>
      <c r="CO10" s="255">
        <v>75</v>
      </c>
      <c r="CP10" s="255">
        <v>0</v>
      </c>
      <c r="CQ10" s="255">
        <v>100</v>
      </c>
      <c r="CR10" s="255">
        <v>3</v>
      </c>
      <c r="CS10" s="255">
        <v>3</v>
      </c>
      <c r="CT10" s="255">
        <v>0</v>
      </c>
      <c r="CU10" s="255">
        <v>0</v>
      </c>
      <c r="CV10" s="255">
        <v>0</v>
      </c>
      <c r="CW10" s="255">
        <v>0</v>
      </c>
      <c r="CX10" s="255">
        <v>0</v>
      </c>
      <c r="CY10" s="255">
        <v>100</v>
      </c>
      <c r="CZ10" s="255">
        <v>1</v>
      </c>
      <c r="DA10" s="255">
        <v>1</v>
      </c>
      <c r="DB10" s="255">
        <v>0</v>
      </c>
      <c r="DC10" s="255">
        <v>0</v>
      </c>
      <c r="DD10" s="255">
        <v>0</v>
      </c>
      <c r="DE10" s="255">
        <v>0</v>
      </c>
      <c r="DF10" s="255">
        <v>1</v>
      </c>
      <c r="DG10" s="255">
        <v>-100</v>
      </c>
    </row>
    <row r="11" spans="1:111" ht="14.65" thickBot="1" x14ac:dyDescent="0.5">
      <c r="A11" s="146" t="s">
        <v>244</v>
      </c>
      <c r="B11" s="147" t="s">
        <v>245</v>
      </c>
      <c r="C11" s="147" t="s">
        <v>246</v>
      </c>
      <c r="D11" s="147" t="s">
        <v>247</v>
      </c>
      <c r="E11" s="254" t="s">
        <v>81</v>
      </c>
      <c r="F11" s="254" t="s">
        <v>183</v>
      </c>
      <c r="G11" s="254" t="s">
        <v>179</v>
      </c>
      <c r="H11" s="255">
        <v>7</v>
      </c>
      <c r="I11" s="255">
        <v>7</v>
      </c>
      <c r="J11" s="255">
        <v>1</v>
      </c>
      <c r="K11" s="255">
        <v>9</v>
      </c>
      <c r="L11" s="255">
        <v>133.33000000000001</v>
      </c>
      <c r="M11" s="255">
        <v>128.57</v>
      </c>
      <c r="N11" s="255">
        <v>0</v>
      </c>
      <c r="O11" s="255">
        <v>100</v>
      </c>
      <c r="P11" s="255">
        <v>4</v>
      </c>
      <c r="Q11" s="255">
        <v>4</v>
      </c>
      <c r="R11" s="255">
        <v>1</v>
      </c>
      <c r="S11" s="255">
        <v>5</v>
      </c>
      <c r="T11" s="255">
        <v>129.63</v>
      </c>
      <c r="U11" s="255">
        <v>125</v>
      </c>
      <c r="V11" s="255">
        <v>0</v>
      </c>
      <c r="W11" s="255">
        <v>100</v>
      </c>
      <c r="X11" s="255">
        <v>2</v>
      </c>
      <c r="Y11" s="255">
        <v>2</v>
      </c>
      <c r="Z11" s="255">
        <v>0</v>
      </c>
      <c r="AA11" s="255">
        <v>0</v>
      </c>
      <c r="AB11" s="255">
        <v>0</v>
      </c>
      <c r="AC11" s="255">
        <v>0</v>
      </c>
      <c r="AD11" s="255">
        <v>0</v>
      </c>
      <c r="AE11" s="255">
        <v>100</v>
      </c>
      <c r="AF11" s="255">
        <v>4</v>
      </c>
      <c r="AG11" s="255">
        <v>4</v>
      </c>
      <c r="AH11" s="255">
        <v>0</v>
      </c>
      <c r="AI11" s="255">
        <v>3</v>
      </c>
      <c r="AJ11" s="255">
        <v>122.22</v>
      </c>
      <c r="AK11" s="255">
        <v>125</v>
      </c>
      <c r="AL11" s="255">
        <v>0</v>
      </c>
      <c r="AM11" s="255">
        <v>100</v>
      </c>
      <c r="AN11" s="255">
        <v>3</v>
      </c>
      <c r="AO11" s="255">
        <v>3</v>
      </c>
      <c r="AP11" s="255">
        <v>0</v>
      </c>
      <c r="AQ11" s="255">
        <v>0</v>
      </c>
      <c r="AR11" s="255">
        <v>0</v>
      </c>
      <c r="AS11" s="255">
        <v>0</v>
      </c>
      <c r="AT11" s="255">
        <v>0</v>
      </c>
      <c r="AU11" s="255">
        <v>100</v>
      </c>
      <c r="AV11" s="255">
        <v>39</v>
      </c>
      <c r="AW11" s="255">
        <v>40</v>
      </c>
      <c r="AX11" s="255">
        <v>0</v>
      </c>
      <c r="AY11" s="255">
        <v>85</v>
      </c>
      <c r="AZ11" s="255">
        <v>220.37</v>
      </c>
      <c r="BA11" s="255">
        <v>212.5</v>
      </c>
      <c r="BB11" s="255">
        <v>1</v>
      </c>
      <c r="BC11" s="255">
        <v>8400</v>
      </c>
      <c r="BD11" s="255">
        <v>5</v>
      </c>
      <c r="BE11" s="255">
        <v>5</v>
      </c>
      <c r="BF11" s="255">
        <v>2</v>
      </c>
      <c r="BG11" s="255">
        <v>6</v>
      </c>
      <c r="BH11" s="255">
        <v>124.44</v>
      </c>
      <c r="BI11" s="255">
        <v>120</v>
      </c>
      <c r="BJ11" s="255">
        <v>0</v>
      </c>
      <c r="BK11" s="255">
        <v>100</v>
      </c>
      <c r="BL11" s="255">
        <v>0</v>
      </c>
      <c r="BM11" s="255">
        <v>0</v>
      </c>
      <c r="BN11" s="255">
        <v>0</v>
      </c>
      <c r="BO11" s="255">
        <v>0</v>
      </c>
      <c r="BP11" s="255">
        <v>100</v>
      </c>
      <c r="BQ11" s="255">
        <v>100</v>
      </c>
      <c r="BR11" s="255">
        <v>0</v>
      </c>
      <c r="BS11" s="255">
        <v>100</v>
      </c>
      <c r="BT11" s="255">
        <v>1</v>
      </c>
      <c r="BU11" s="255">
        <v>1</v>
      </c>
      <c r="BV11" s="255">
        <v>0</v>
      </c>
      <c r="BW11" s="255">
        <v>1</v>
      </c>
      <c r="BX11" s="255">
        <v>103.7</v>
      </c>
      <c r="BY11" s="255">
        <v>100</v>
      </c>
      <c r="BZ11" s="255">
        <v>0</v>
      </c>
      <c r="CA11" s="255">
        <v>100</v>
      </c>
      <c r="CB11" s="255">
        <v>8</v>
      </c>
      <c r="CC11" s="255">
        <v>8</v>
      </c>
      <c r="CD11" s="255">
        <v>0</v>
      </c>
      <c r="CE11" s="255">
        <v>7</v>
      </c>
      <c r="CF11" s="255">
        <v>90.74</v>
      </c>
      <c r="CG11" s="255">
        <v>87.5</v>
      </c>
      <c r="CH11" s="255">
        <v>0</v>
      </c>
      <c r="CI11" s="255">
        <v>100</v>
      </c>
      <c r="CJ11" s="255">
        <v>4</v>
      </c>
      <c r="CK11" s="255">
        <v>4</v>
      </c>
      <c r="CL11" s="255">
        <v>0</v>
      </c>
      <c r="CM11" s="255">
        <v>3</v>
      </c>
      <c r="CN11" s="255">
        <v>77.78</v>
      </c>
      <c r="CO11" s="255">
        <v>75</v>
      </c>
      <c r="CP11" s="255">
        <v>0</v>
      </c>
      <c r="CQ11" s="255">
        <v>100</v>
      </c>
      <c r="CR11" s="255">
        <v>4</v>
      </c>
      <c r="CS11" s="255">
        <v>4</v>
      </c>
      <c r="CT11" s="255">
        <v>0</v>
      </c>
      <c r="CU11" s="255">
        <v>3</v>
      </c>
      <c r="CV11" s="255">
        <v>77.78</v>
      </c>
      <c r="CW11" s="255">
        <v>75</v>
      </c>
      <c r="CX11" s="255">
        <v>1</v>
      </c>
      <c r="CY11" s="255">
        <v>200</v>
      </c>
      <c r="CZ11" s="255">
        <v>1</v>
      </c>
      <c r="DA11" s="255">
        <v>1</v>
      </c>
      <c r="DB11" s="255">
        <v>0</v>
      </c>
      <c r="DC11" s="255">
        <v>10</v>
      </c>
      <c r="DD11" s="255">
        <v>1037.04</v>
      </c>
      <c r="DE11" s="255">
        <v>1000</v>
      </c>
      <c r="DF11" s="255">
        <v>1</v>
      </c>
      <c r="DG11" s="255">
        <v>900</v>
      </c>
    </row>
    <row r="12" spans="1:111" ht="14.65" thickBot="1" x14ac:dyDescent="0.5">
      <c r="A12" s="146" t="s">
        <v>244</v>
      </c>
      <c r="B12" s="147" t="s">
        <v>245</v>
      </c>
      <c r="C12" s="147" t="s">
        <v>246</v>
      </c>
      <c r="D12" s="147" t="s">
        <v>247</v>
      </c>
      <c r="E12" s="254" t="s">
        <v>84</v>
      </c>
      <c r="F12" s="254" t="s">
        <v>184</v>
      </c>
      <c r="G12" s="254" t="s">
        <v>129</v>
      </c>
      <c r="H12" s="255">
        <v>7</v>
      </c>
      <c r="I12" s="255">
        <v>7</v>
      </c>
      <c r="J12" s="255">
        <v>0</v>
      </c>
      <c r="K12" s="255">
        <v>7</v>
      </c>
      <c r="L12" s="255">
        <v>103.7</v>
      </c>
      <c r="M12" s="255">
        <v>100</v>
      </c>
      <c r="N12" s="255">
        <v>0</v>
      </c>
      <c r="O12" s="255">
        <v>100</v>
      </c>
      <c r="P12" s="255">
        <v>3</v>
      </c>
      <c r="Q12" s="255">
        <v>3</v>
      </c>
      <c r="R12" s="255">
        <v>1</v>
      </c>
      <c r="S12" s="255">
        <v>3</v>
      </c>
      <c r="T12" s="255">
        <v>103.7</v>
      </c>
      <c r="U12" s="255">
        <v>100</v>
      </c>
      <c r="V12" s="255">
        <v>0</v>
      </c>
      <c r="W12" s="255">
        <v>100</v>
      </c>
      <c r="X12" s="255">
        <v>1</v>
      </c>
      <c r="Y12" s="255">
        <v>1</v>
      </c>
      <c r="Z12" s="255">
        <v>0</v>
      </c>
      <c r="AA12" s="255">
        <v>0</v>
      </c>
      <c r="AB12" s="255">
        <v>0</v>
      </c>
      <c r="AC12" s="255">
        <v>0</v>
      </c>
      <c r="AD12" s="255">
        <v>0</v>
      </c>
      <c r="AE12" s="255">
        <v>100</v>
      </c>
      <c r="AF12" s="255">
        <v>4</v>
      </c>
      <c r="AG12" s="255">
        <v>4</v>
      </c>
      <c r="AH12" s="255">
        <v>0</v>
      </c>
      <c r="AI12" s="255">
        <v>1</v>
      </c>
      <c r="AJ12" s="255">
        <v>174.07</v>
      </c>
      <c r="AK12" s="255">
        <v>175</v>
      </c>
      <c r="AL12" s="255">
        <v>0</v>
      </c>
      <c r="AM12" s="255">
        <v>100</v>
      </c>
      <c r="AN12" s="255">
        <v>4</v>
      </c>
      <c r="AO12" s="255">
        <v>4</v>
      </c>
      <c r="AP12" s="255">
        <v>0</v>
      </c>
      <c r="AQ12" s="255">
        <v>0</v>
      </c>
      <c r="AR12" s="255">
        <v>0</v>
      </c>
      <c r="AS12" s="255">
        <v>0</v>
      </c>
      <c r="AT12" s="255">
        <v>0</v>
      </c>
      <c r="AU12" s="255">
        <v>100</v>
      </c>
      <c r="AV12" s="255">
        <v>29</v>
      </c>
      <c r="AW12" s="255">
        <v>30</v>
      </c>
      <c r="AX12" s="255">
        <v>0</v>
      </c>
      <c r="AY12" s="255">
        <v>26</v>
      </c>
      <c r="AZ12" s="255">
        <v>89.88</v>
      </c>
      <c r="BA12" s="255">
        <v>86.67</v>
      </c>
      <c r="BB12" s="255">
        <v>0</v>
      </c>
      <c r="BC12" s="255">
        <v>100</v>
      </c>
      <c r="BD12" s="255">
        <v>4</v>
      </c>
      <c r="BE12" s="255">
        <v>4</v>
      </c>
      <c r="BF12" s="255">
        <v>3</v>
      </c>
      <c r="BG12" s="255">
        <v>4</v>
      </c>
      <c r="BH12" s="255">
        <v>103.7</v>
      </c>
      <c r="BI12" s="255">
        <v>100</v>
      </c>
      <c r="BJ12" s="255">
        <v>0</v>
      </c>
      <c r="BK12" s="255">
        <v>100</v>
      </c>
      <c r="BL12" s="255">
        <v>0</v>
      </c>
      <c r="BM12" s="255">
        <v>0</v>
      </c>
      <c r="BN12" s="255">
        <v>0</v>
      </c>
      <c r="BO12" s="255">
        <v>0</v>
      </c>
      <c r="BP12" s="255">
        <v>100</v>
      </c>
      <c r="BQ12" s="255">
        <v>100</v>
      </c>
      <c r="BR12" s="255">
        <v>0</v>
      </c>
      <c r="BS12" s="255">
        <v>100</v>
      </c>
      <c r="BT12" s="255">
        <v>1</v>
      </c>
      <c r="BU12" s="255">
        <v>1</v>
      </c>
      <c r="BV12" s="255">
        <v>0</v>
      </c>
      <c r="BW12" s="255">
        <v>0</v>
      </c>
      <c r="BX12" s="255">
        <v>0</v>
      </c>
      <c r="BY12" s="255">
        <v>0</v>
      </c>
      <c r="BZ12" s="255">
        <v>0</v>
      </c>
      <c r="CA12" s="255">
        <v>100</v>
      </c>
      <c r="CB12" s="255">
        <v>8</v>
      </c>
      <c r="CC12" s="255">
        <v>8</v>
      </c>
      <c r="CD12" s="255">
        <v>0</v>
      </c>
      <c r="CE12" s="255">
        <v>3</v>
      </c>
      <c r="CF12" s="255">
        <v>38.89</v>
      </c>
      <c r="CG12" s="255">
        <v>37.5</v>
      </c>
      <c r="CH12" s="255">
        <v>0</v>
      </c>
      <c r="CI12" s="255">
        <v>100</v>
      </c>
      <c r="CJ12" s="255">
        <v>4</v>
      </c>
      <c r="CK12" s="255">
        <v>4</v>
      </c>
      <c r="CL12" s="255">
        <v>0</v>
      </c>
      <c r="CM12" s="255">
        <v>2</v>
      </c>
      <c r="CN12" s="255">
        <v>51.85</v>
      </c>
      <c r="CO12" s="255">
        <v>50</v>
      </c>
      <c r="CP12" s="255">
        <v>0</v>
      </c>
      <c r="CQ12" s="255">
        <v>100</v>
      </c>
      <c r="CR12" s="255">
        <v>3</v>
      </c>
      <c r="CS12" s="255">
        <v>3</v>
      </c>
      <c r="CT12" s="255">
        <v>0</v>
      </c>
      <c r="CU12" s="255">
        <v>4</v>
      </c>
      <c r="CV12" s="255">
        <v>138.27000000000001</v>
      </c>
      <c r="CW12" s="255">
        <v>133.33000000000001</v>
      </c>
      <c r="CX12" s="255">
        <v>0</v>
      </c>
      <c r="CY12" s="255">
        <v>100</v>
      </c>
      <c r="CZ12" s="255">
        <v>1</v>
      </c>
      <c r="DA12" s="255">
        <v>1</v>
      </c>
      <c r="DB12" s="255">
        <v>0</v>
      </c>
      <c r="DC12" s="255">
        <v>3</v>
      </c>
      <c r="DD12" s="255">
        <v>311.11</v>
      </c>
      <c r="DE12" s="255">
        <v>300</v>
      </c>
      <c r="DF12" s="255">
        <v>1</v>
      </c>
      <c r="DG12" s="255">
        <v>200</v>
      </c>
    </row>
    <row r="13" spans="1:111" ht="14.65" thickBot="1" x14ac:dyDescent="0.5">
      <c r="A13" s="146" t="s">
        <v>244</v>
      </c>
      <c r="B13" s="147" t="s">
        <v>245</v>
      </c>
      <c r="C13" s="147" t="s">
        <v>246</v>
      </c>
      <c r="D13" s="147" t="s">
        <v>247</v>
      </c>
      <c r="E13" s="254" t="s">
        <v>87</v>
      </c>
      <c r="F13" s="254" t="s">
        <v>185</v>
      </c>
      <c r="G13" s="254" t="s">
        <v>128</v>
      </c>
      <c r="H13" s="255">
        <v>8</v>
      </c>
      <c r="I13" s="255">
        <v>8</v>
      </c>
      <c r="J13" s="255">
        <v>0</v>
      </c>
      <c r="K13" s="255">
        <v>8</v>
      </c>
      <c r="L13" s="255">
        <v>103.7</v>
      </c>
      <c r="M13" s="255">
        <v>100</v>
      </c>
      <c r="N13" s="255">
        <v>0</v>
      </c>
      <c r="O13" s="255">
        <v>100</v>
      </c>
      <c r="P13" s="255">
        <v>4</v>
      </c>
      <c r="Q13" s="255">
        <v>4</v>
      </c>
      <c r="R13" s="255">
        <v>1</v>
      </c>
      <c r="S13" s="255">
        <v>5</v>
      </c>
      <c r="T13" s="255">
        <v>129.63</v>
      </c>
      <c r="U13" s="255">
        <v>125</v>
      </c>
      <c r="V13" s="255">
        <v>0</v>
      </c>
      <c r="W13" s="255">
        <v>100</v>
      </c>
      <c r="X13" s="255">
        <v>2</v>
      </c>
      <c r="Y13" s="255">
        <v>2</v>
      </c>
      <c r="Z13" s="255">
        <v>0</v>
      </c>
      <c r="AA13" s="255">
        <v>0</v>
      </c>
      <c r="AB13" s="255">
        <v>0</v>
      </c>
      <c r="AC13" s="255">
        <v>0</v>
      </c>
      <c r="AD13" s="255">
        <v>3</v>
      </c>
      <c r="AE13" s="255">
        <v>-100</v>
      </c>
      <c r="AF13" s="255">
        <v>5</v>
      </c>
      <c r="AG13" s="255">
        <v>5</v>
      </c>
      <c r="AH13" s="255">
        <v>0</v>
      </c>
      <c r="AI13" s="255">
        <v>2</v>
      </c>
      <c r="AJ13" s="255">
        <v>158.52000000000001</v>
      </c>
      <c r="AK13" s="255">
        <v>160</v>
      </c>
      <c r="AL13" s="255">
        <v>0</v>
      </c>
      <c r="AM13" s="255">
        <v>100</v>
      </c>
      <c r="AN13" s="255">
        <v>4</v>
      </c>
      <c r="AO13" s="255">
        <v>4</v>
      </c>
      <c r="AP13" s="255">
        <v>0</v>
      </c>
      <c r="AQ13" s="255">
        <v>0</v>
      </c>
      <c r="AR13" s="255">
        <v>0</v>
      </c>
      <c r="AS13" s="255">
        <v>0</v>
      </c>
      <c r="AT13" s="255">
        <v>0</v>
      </c>
      <c r="AU13" s="255">
        <v>100</v>
      </c>
      <c r="AV13" s="255">
        <v>48</v>
      </c>
      <c r="AW13" s="255">
        <v>50</v>
      </c>
      <c r="AX13" s="255">
        <v>0</v>
      </c>
      <c r="AY13" s="255">
        <v>71</v>
      </c>
      <c r="AZ13" s="255">
        <v>147.26</v>
      </c>
      <c r="BA13" s="255">
        <v>142</v>
      </c>
      <c r="BB13" s="255">
        <v>0</v>
      </c>
      <c r="BC13" s="255">
        <v>100</v>
      </c>
      <c r="BD13" s="255">
        <v>5</v>
      </c>
      <c r="BE13" s="255">
        <v>5</v>
      </c>
      <c r="BF13" s="255">
        <v>0</v>
      </c>
      <c r="BG13" s="255">
        <v>4</v>
      </c>
      <c r="BH13" s="255">
        <v>82.96</v>
      </c>
      <c r="BI13" s="255">
        <v>80</v>
      </c>
      <c r="BJ13" s="255">
        <v>0</v>
      </c>
      <c r="BK13" s="255">
        <v>100</v>
      </c>
      <c r="BL13" s="255">
        <v>1</v>
      </c>
      <c r="BM13" s="255">
        <v>1</v>
      </c>
      <c r="BN13" s="255">
        <v>0</v>
      </c>
      <c r="BO13" s="255">
        <v>0</v>
      </c>
      <c r="BP13" s="255">
        <v>0</v>
      </c>
      <c r="BQ13" s="255">
        <v>0</v>
      </c>
      <c r="BR13" s="255">
        <v>0</v>
      </c>
      <c r="BS13" s="255">
        <v>100</v>
      </c>
      <c r="BT13" s="255">
        <v>1</v>
      </c>
      <c r="BU13" s="255">
        <v>1</v>
      </c>
      <c r="BV13" s="255">
        <v>1</v>
      </c>
      <c r="BW13" s="255">
        <v>2</v>
      </c>
      <c r="BX13" s="255">
        <v>207.41</v>
      </c>
      <c r="BY13" s="255">
        <v>200</v>
      </c>
      <c r="BZ13" s="255">
        <v>0</v>
      </c>
      <c r="CA13" s="255">
        <v>100</v>
      </c>
      <c r="CB13" s="255">
        <v>9</v>
      </c>
      <c r="CC13" s="255">
        <v>9</v>
      </c>
      <c r="CD13" s="255">
        <v>0</v>
      </c>
      <c r="CE13" s="255">
        <v>11</v>
      </c>
      <c r="CF13" s="255">
        <v>126.75</v>
      </c>
      <c r="CG13" s="255">
        <v>122.22</v>
      </c>
      <c r="CH13" s="255">
        <v>0</v>
      </c>
      <c r="CI13" s="255">
        <v>100</v>
      </c>
      <c r="CJ13" s="255">
        <v>5</v>
      </c>
      <c r="CK13" s="255">
        <v>5</v>
      </c>
      <c r="CL13" s="255">
        <v>0</v>
      </c>
      <c r="CM13" s="255">
        <v>1</v>
      </c>
      <c r="CN13" s="255">
        <v>20.74</v>
      </c>
      <c r="CO13" s="255">
        <v>20</v>
      </c>
      <c r="CP13" s="255">
        <v>0</v>
      </c>
      <c r="CQ13" s="255">
        <v>100</v>
      </c>
      <c r="CR13" s="255">
        <v>4</v>
      </c>
      <c r="CS13" s="255">
        <v>4</v>
      </c>
      <c r="CT13" s="255">
        <v>0</v>
      </c>
      <c r="CU13" s="255">
        <v>5</v>
      </c>
      <c r="CV13" s="255">
        <v>129.63</v>
      </c>
      <c r="CW13" s="255">
        <v>125</v>
      </c>
      <c r="CX13" s="255">
        <v>0</v>
      </c>
      <c r="CY13" s="255">
        <v>100</v>
      </c>
      <c r="CZ13" s="255">
        <v>1</v>
      </c>
      <c r="DA13" s="255">
        <v>1</v>
      </c>
      <c r="DB13" s="255">
        <v>0</v>
      </c>
      <c r="DC13" s="255">
        <v>1</v>
      </c>
      <c r="DD13" s="255">
        <v>103.7</v>
      </c>
      <c r="DE13" s="255">
        <v>100</v>
      </c>
      <c r="DF13" s="255">
        <v>0</v>
      </c>
      <c r="DG13" s="255">
        <v>100</v>
      </c>
    </row>
    <row r="14" spans="1:111" ht="14.65" thickBot="1" x14ac:dyDescent="0.5">
      <c r="A14" s="146" t="s">
        <v>244</v>
      </c>
      <c r="B14" s="147" t="s">
        <v>245</v>
      </c>
      <c r="C14" s="147" t="s">
        <v>246</v>
      </c>
      <c r="D14" s="147" t="s">
        <v>247</v>
      </c>
      <c r="E14" s="254" t="s">
        <v>90</v>
      </c>
      <c r="F14" s="254" t="s">
        <v>186</v>
      </c>
      <c r="G14" s="254" t="s">
        <v>179</v>
      </c>
      <c r="H14" s="255">
        <v>7</v>
      </c>
      <c r="I14" s="255">
        <v>7</v>
      </c>
      <c r="J14" s="255">
        <v>0</v>
      </c>
      <c r="K14" s="255">
        <v>9</v>
      </c>
      <c r="L14" s="255">
        <v>133.33000000000001</v>
      </c>
      <c r="M14" s="255">
        <v>128.57</v>
      </c>
      <c r="N14" s="255">
        <v>0</v>
      </c>
      <c r="O14" s="255">
        <v>100</v>
      </c>
      <c r="P14" s="255">
        <v>4</v>
      </c>
      <c r="Q14" s="255">
        <v>4</v>
      </c>
      <c r="R14" s="255">
        <v>0</v>
      </c>
      <c r="S14" s="255">
        <v>6</v>
      </c>
      <c r="T14" s="255">
        <v>155.56</v>
      </c>
      <c r="U14" s="255">
        <v>150</v>
      </c>
      <c r="V14" s="255">
        <v>0</v>
      </c>
      <c r="W14" s="255">
        <v>100</v>
      </c>
      <c r="X14" s="255">
        <v>2</v>
      </c>
      <c r="Y14" s="255">
        <v>2</v>
      </c>
      <c r="Z14" s="255">
        <v>0</v>
      </c>
      <c r="AA14" s="255">
        <v>1</v>
      </c>
      <c r="AB14" s="255">
        <v>51.85</v>
      </c>
      <c r="AC14" s="255">
        <v>50</v>
      </c>
      <c r="AD14" s="255">
        <v>0</v>
      </c>
      <c r="AE14" s="255">
        <v>100</v>
      </c>
      <c r="AF14" s="255">
        <v>4</v>
      </c>
      <c r="AG14" s="255">
        <v>4</v>
      </c>
      <c r="AH14" s="255">
        <v>0</v>
      </c>
      <c r="AI14" s="255">
        <v>3</v>
      </c>
      <c r="AJ14" s="255">
        <v>122.22</v>
      </c>
      <c r="AK14" s="255">
        <v>125</v>
      </c>
      <c r="AL14" s="255">
        <v>0</v>
      </c>
      <c r="AM14" s="255">
        <v>100</v>
      </c>
      <c r="AN14" s="255">
        <v>4</v>
      </c>
      <c r="AO14" s="255">
        <v>4</v>
      </c>
      <c r="AP14" s="255">
        <v>0</v>
      </c>
      <c r="AQ14" s="255">
        <v>0</v>
      </c>
      <c r="AR14" s="255">
        <v>0</v>
      </c>
      <c r="AS14" s="255">
        <v>0</v>
      </c>
      <c r="AT14" s="255">
        <v>0</v>
      </c>
      <c r="AU14" s="255">
        <v>100</v>
      </c>
      <c r="AV14" s="255">
        <v>58</v>
      </c>
      <c r="AW14" s="255">
        <v>60</v>
      </c>
      <c r="AX14" s="255">
        <v>0</v>
      </c>
      <c r="AY14" s="255">
        <v>217</v>
      </c>
      <c r="AZ14" s="255">
        <v>375.06</v>
      </c>
      <c r="BA14" s="255">
        <v>361.67</v>
      </c>
      <c r="BB14" s="255">
        <v>0</v>
      </c>
      <c r="BC14" s="255">
        <v>100</v>
      </c>
      <c r="BD14" s="255">
        <v>5</v>
      </c>
      <c r="BE14" s="255">
        <v>5</v>
      </c>
      <c r="BF14" s="255">
        <v>1</v>
      </c>
      <c r="BG14" s="255">
        <v>4</v>
      </c>
      <c r="BH14" s="255">
        <v>82.96</v>
      </c>
      <c r="BI14" s="255">
        <v>80</v>
      </c>
      <c r="BJ14" s="255">
        <v>0</v>
      </c>
      <c r="BK14" s="255">
        <v>100</v>
      </c>
      <c r="BL14" s="255">
        <v>1</v>
      </c>
      <c r="BM14" s="255">
        <v>1</v>
      </c>
      <c r="BN14" s="255">
        <v>0</v>
      </c>
      <c r="BO14" s="255">
        <v>6</v>
      </c>
      <c r="BP14" s="255">
        <v>622.22</v>
      </c>
      <c r="BQ14" s="255">
        <v>600</v>
      </c>
      <c r="BR14" s="255">
        <v>0</v>
      </c>
      <c r="BS14" s="255">
        <v>100</v>
      </c>
      <c r="BT14" s="255">
        <v>1</v>
      </c>
      <c r="BU14" s="255">
        <v>1</v>
      </c>
      <c r="BV14" s="255">
        <v>0</v>
      </c>
      <c r="BW14" s="255">
        <v>1</v>
      </c>
      <c r="BX14" s="255">
        <v>103.7</v>
      </c>
      <c r="BY14" s="255">
        <v>100</v>
      </c>
      <c r="BZ14" s="255">
        <v>0</v>
      </c>
      <c r="CA14" s="255">
        <v>100</v>
      </c>
      <c r="CB14" s="255">
        <v>8</v>
      </c>
      <c r="CC14" s="255">
        <v>8</v>
      </c>
      <c r="CD14" s="255">
        <v>0</v>
      </c>
      <c r="CE14" s="255">
        <v>17</v>
      </c>
      <c r="CF14" s="255">
        <v>220.37</v>
      </c>
      <c r="CG14" s="255">
        <v>212.5</v>
      </c>
      <c r="CH14" s="255">
        <v>0</v>
      </c>
      <c r="CI14" s="255">
        <v>100</v>
      </c>
      <c r="CJ14" s="255">
        <v>4</v>
      </c>
      <c r="CK14" s="255">
        <v>4</v>
      </c>
      <c r="CL14" s="255">
        <v>0</v>
      </c>
      <c r="CM14" s="255">
        <v>7</v>
      </c>
      <c r="CN14" s="255">
        <v>181.48</v>
      </c>
      <c r="CO14" s="255">
        <v>175</v>
      </c>
      <c r="CP14" s="255">
        <v>0</v>
      </c>
      <c r="CQ14" s="255">
        <v>100</v>
      </c>
      <c r="CR14" s="255">
        <v>4</v>
      </c>
      <c r="CS14" s="255">
        <v>4</v>
      </c>
      <c r="CT14" s="255">
        <v>0</v>
      </c>
      <c r="CU14" s="255">
        <v>9</v>
      </c>
      <c r="CV14" s="255">
        <v>233.33</v>
      </c>
      <c r="CW14" s="255">
        <v>225</v>
      </c>
      <c r="CX14" s="255">
        <v>0</v>
      </c>
      <c r="CY14" s="255">
        <v>100</v>
      </c>
      <c r="CZ14" s="255">
        <v>1</v>
      </c>
      <c r="DA14" s="255">
        <v>1</v>
      </c>
      <c r="DB14" s="255">
        <v>0</v>
      </c>
      <c r="DC14" s="255">
        <v>17</v>
      </c>
      <c r="DD14" s="255">
        <v>1762.96</v>
      </c>
      <c r="DE14" s="255">
        <v>1700</v>
      </c>
      <c r="DF14" s="255">
        <v>2</v>
      </c>
      <c r="DG14" s="255">
        <v>750</v>
      </c>
    </row>
    <row r="15" spans="1:111" ht="14.65" thickBot="1" x14ac:dyDescent="0.5">
      <c r="A15" s="146" t="s">
        <v>244</v>
      </c>
      <c r="B15" s="147" t="s">
        <v>245</v>
      </c>
      <c r="C15" s="147" t="s">
        <v>246</v>
      </c>
      <c r="D15" s="147" t="s">
        <v>247</v>
      </c>
      <c r="E15" s="254" t="s">
        <v>99</v>
      </c>
      <c r="F15" s="254" t="s">
        <v>188</v>
      </c>
      <c r="G15" s="254" t="s">
        <v>128</v>
      </c>
      <c r="H15" s="255">
        <v>8</v>
      </c>
      <c r="I15" s="255">
        <v>8</v>
      </c>
      <c r="J15" s="255">
        <v>0</v>
      </c>
      <c r="K15" s="255">
        <v>10</v>
      </c>
      <c r="L15" s="255">
        <v>129.63</v>
      </c>
      <c r="M15" s="255">
        <v>125</v>
      </c>
      <c r="N15" s="255">
        <v>0</v>
      </c>
      <c r="O15" s="255">
        <v>100</v>
      </c>
      <c r="P15" s="255">
        <v>4</v>
      </c>
      <c r="Q15" s="255">
        <v>4</v>
      </c>
      <c r="R15" s="255">
        <v>1</v>
      </c>
      <c r="S15" s="255">
        <v>4</v>
      </c>
      <c r="T15" s="255">
        <v>103.7</v>
      </c>
      <c r="U15" s="255">
        <v>100</v>
      </c>
      <c r="V15" s="255">
        <v>0</v>
      </c>
      <c r="W15" s="255">
        <v>100</v>
      </c>
      <c r="X15" s="255">
        <v>3</v>
      </c>
      <c r="Y15" s="255">
        <v>3</v>
      </c>
      <c r="Z15" s="255">
        <v>0</v>
      </c>
      <c r="AA15" s="255">
        <v>0</v>
      </c>
      <c r="AB15" s="255">
        <v>0</v>
      </c>
      <c r="AC15" s="255">
        <v>0</v>
      </c>
      <c r="AD15" s="255">
        <v>1</v>
      </c>
      <c r="AE15" s="255">
        <v>-100</v>
      </c>
      <c r="AF15" s="255">
        <v>5</v>
      </c>
      <c r="AG15" s="255">
        <v>5</v>
      </c>
      <c r="AH15" s="255">
        <v>0</v>
      </c>
      <c r="AI15" s="255">
        <v>2</v>
      </c>
      <c r="AJ15" s="255">
        <v>158.52000000000001</v>
      </c>
      <c r="AK15" s="255">
        <v>160</v>
      </c>
      <c r="AL15" s="255">
        <v>0</v>
      </c>
      <c r="AM15" s="255">
        <v>100</v>
      </c>
      <c r="AN15" s="255">
        <v>4</v>
      </c>
      <c r="AO15" s="255">
        <v>4</v>
      </c>
      <c r="AP15" s="255">
        <v>0</v>
      </c>
      <c r="AQ15" s="255">
        <v>0</v>
      </c>
      <c r="AR15" s="255">
        <v>0</v>
      </c>
      <c r="AS15" s="255">
        <v>0</v>
      </c>
      <c r="AT15" s="255">
        <v>0</v>
      </c>
      <c r="AU15" s="255">
        <v>100</v>
      </c>
      <c r="AV15" s="255">
        <v>29</v>
      </c>
      <c r="AW15" s="255">
        <v>30</v>
      </c>
      <c r="AX15" s="255">
        <v>0</v>
      </c>
      <c r="AY15" s="255">
        <v>61</v>
      </c>
      <c r="AZ15" s="255">
        <v>210.86</v>
      </c>
      <c r="BA15" s="255">
        <v>203.33</v>
      </c>
      <c r="BB15" s="255">
        <v>0</v>
      </c>
      <c r="BC15" s="255">
        <v>100</v>
      </c>
      <c r="BD15" s="255">
        <v>5</v>
      </c>
      <c r="BE15" s="255">
        <v>5</v>
      </c>
      <c r="BF15" s="255">
        <v>1</v>
      </c>
      <c r="BG15" s="255">
        <v>3</v>
      </c>
      <c r="BH15" s="255">
        <v>62.22</v>
      </c>
      <c r="BI15" s="255">
        <v>60</v>
      </c>
      <c r="BJ15" s="255">
        <v>0</v>
      </c>
      <c r="BK15" s="255">
        <v>100</v>
      </c>
      <c r="BL15" s="255">
        <v>0</v>
      </c>
      <c r="BM15" s="255">
        <v>0</v>
      </c>
      <c r="BN15" s="255">
        <v>0</v>
      </c>
      <c r="BO15" s="255">
        <v>0</v>
      </c>
      <c r="BP15" s="255">
        <v>100</v>
      </c>
      <c r="BQ15" s="255">
        <v>100</v>
      </c>
      <c r="BR15" s="255">
        <v>0</v>
      </c>
      <c r="BS15" s="255">
        <v>100</v>
      </c>
      <c r="BT15" s="255">
        <v>1</v>
      </c>
      <c r="BU15" s="255">
        <v>1</v>
      </c>
      <c r="BV15" s="255">
        <v>0</v>
      </c>
      <c r="BW15" s="255">
        <v>1</v>
      </c>
      <c r="BX15" s="255">
        <v>103.7</v>
      </c>
      <c r="BY15" s="255">
        <v>100</v>
      </c>
      <c r="BZ15" s="255">
        <v>0</v>
      </c>
      <c r="CA15" s="255">
        <v>100</v>
      </c>
      <c r="CB15" s="255">
        <v>9</v>
      </c>
      <c r="CC15" s="255">
        <v>9</v>
      </c>
      <c r="CD15" s="255">
        <v>0</v>
      </c>
      <c r="CE15" s="255">
        <v>11</v>
      </c>
      <c r="CF15" s="255">
        <v>126.75</v>
      </c>
      <c r="CG15" s="255">
        <v>122.22</v>
      </c>
      <c r="CH15" s="255">
        <v>0</v>
      </c>
      <c r="CI15" s="255">
        <v>100</v>
      </c>
      <c r="CJ15" s="255">
        <v>5</v>
      </c>
      <c r="CK15" s="255">
        <v>5</v>
      </c>
      <c r="CL15" s="255">
        <v>0</v>
      </c>
      <c r="CM15" s="255">
        <v>6</v>
      </c>
      <c r="CN15" s="255">
        <v>124.44</v>
      </c>
      <c r="CO15" s="255">
        <v>120</v>
      </c>
      <c r="CP15" s="255">
        <v>0</v>
      </c>
      <c r="CQ15" s="255">
        <v>100</v>
      </c>
      <c r="CR15" s="255">
        <v>3</v>
      </c>
      <c r="CS15" s="255">
        <v>3</v>
      </c>
      <c r="CT15" s="255">
        <v>1</v>
      </c>
      <c r="CU15" s="255">
        <v>4</v>
      </c>
      <c r="CV15" s="255">
        <v>138.27000000000001</v>
      </c>
      <c r="CW15" s="255">
        <v>133.33000000000001</v>
      </c>
      <c r="CX15" s="255">
        <v>0</v>
      </c>
      <c r="CY15" s="255">
        <v>100</v>
      </c>
      <c r="CZ15" s="255">
        <v>1</v>
      </c>
      <c r="DA15" s="255">
        <v>1</v>
      </c>
      <c r="DB15" s="255">
        <v>0</v>
      </c>
      <c r="DC15" s="255">
        <v>1</v>
      </c>
      <c r="DD15" s="255">
        <v>103.7</v>
      </c>
      <c r="DE15" s="255">
        <v>100</v>
      </c>
      <c r="DF15" s="255">
        <v>0</v>
      </c>
      <c r="DG15" s="255">
        <v>100</v>
      </c>
    </row>
    <row r="16" spans="1:111" ht="14.65" thickBot="1" x14ac:dyDescent="0.5">
      <c r="A16" s="146" t="s">
        <v>244</v>
      </c>
      <c r="B16" s="147" t="s">
        <v>245</v>
      </c>
      <c r="C16" s="147" t="s">
        <v>246</v>
      </c>
      <c r="D16" s="147" t="s">
        <v>247</v>
      </c>
      <c r="E16" s="254" t="s">
        <v>102</v>
      </c>
      <c r="F16" s="254" t="s">
        <v>189</v>
      </c>
      <c r="G16" s="254" t="s">
        <v>179</v>
      </c>
      <c r="H16" s="255">
        <v>7</v>
      </c>
      <c r="I16" s="255">
        <v>7</v>
      </c>
      <c r="J16" s="255">
        <v>0</v>
      </c>
      <c r="K16" s="255">
        <v>7</v>
      </c>
      <c r="L16" s="255">
        <v>103.7</v>
      </c>
      <c r="M16" s="255">
        <v>100</v>
      </c>
      <c r="N16" s="255">
        <v>0</v>
      </c>
      <c r="O16" s="255">
        <v>100</v>
      </c>
      <c r="P16" s="255">
        <v>4</v>
      </c>
      <c r="Q16" s="255">
        <v>4</v>
      </c>
      <c r="R16" s="255">
        <v>0</v>
      </c>
      <c r="S16" s="255">
        <v>5</v>
      </c>
      <c r="T16" s="255">
        <v>129.63</v>
      </c>
      <c r="U16" s="255">
        <v>125</v>
      </c>
      <c r="V16" s="255">
        <v>0</v>
      </c>
      <c r="W16" s="255">
        <v>100</v>
      </c>
      <c r="X16" s="255">
        <v>3</v>
      </c>
      <c r="Y16" s="255">
        <v>3</v>
      </c>
      <c r="Z16" s="255">
        <v>0</v>
      </c>
      <c r="AA16" s="255">
        <v>0</v>
      </c>
      <c r="AB16" s="255">
        <v>0</v>
      </c>
      <c r="AC16" s="255">
        <v>0</v>
      </c>
      <c r="AD16" s="255">
        <v>0</v>
      </c>
      <c r="AE16" s="255">
        <v>100</v>
      </c>
      <c r="AF16" s="255">
        <v>4</v>
      </c>
      <c r="AG16" s="255">
        <v>4</v>
      </c>
      <c r="AH16" s="255">
        <v>0</v>
      </c>
      <c r="AI16" s="255">
        <v>6</v>
      </c>
      <c r="AJ16" s="255">
        <v>44.44</v>
      </c>
      <c r="AK16" s="255">
        <v>50</v>
      </c>
      <c r="AL16" s="255">
        <v>0</v>
      </c>
      <c r="AM16" s="255">
        <v>100</v>
      </c>
      <c r="AN16" s="255">
        <v>4</v>
      </c>
      <c r="AO16" s="255">
        <v>4</v>
      </c>
      <c r="AP16" s="255">
        <v>0</v>
      </c>
      <c r="AQ16" s="255">
        <v>0</v>
      </c>
      <c r="AR16" s="255">
        <v>0</v>
      </c>
      <c r="AS16" s="255">
        <v>0</v>
      </c>
      <c r="AT16" s="255">
        <v>0</v>
      </c>
      <c r="AU16" s="255">
        <v>100</v>
      </c>
      <c r="AV16" s="255">
        <v>34</v>
      </c>
      <c r="AW16" s="255">
        <v>35</v>
      </c>
      <c r="AX16" s="255">
        <v>0</v>
      </c>
      <c r="AY16" s="255">
        <v>96</v>
      </c>
      <c r="AZ16" s="255">
        <v>284.44</v>
      </c>
      <c r="BA16" s="255">
        <v>274.29000000000002</v>
      </c>
      <c r="BB16" s="255">
        <v>0</v>
      </c>
      <c r="BC16" s="255">
        <v>100</v>
      </c>
      <c r="BD16" s="255">
        <v>5</v>
      </c>
      <c r="BE16" s="255">
        <v>5</v>
      </c>
      <c r="BF16" s="255">
        <v>1</v>
      </c>
      <c r="BG16" s="255">
        <v>3</v>
      </c>
      <c r="BH16" s="255">
        <v>62.22</v>
      </c>
      <c r="BI16" s="255">
        <v>60</v>
      </c>
      <c r="BJ16" s="255">
        <v>0</v>
      </c>
      <c r="BK16" s="255">
        <v>100</v>
      </c>
      <c r="BL16" s="255">
        <v>1</v>
      </c>
      <c r="BM16" s="255">
        <v>1</v>
      </c>
      <c r="BN16" s="255">
        <v>0</v>
      </c>
      <c r="BO16" s="255">
        <v>2</v>
      </c>
      <c r="BP16" s="255">
        <v>207.41</v>
      </c>
      <c r="BQ16" s="255">
        <v>200</v>
      </c>
      <c r="BR16" s="255">
        <v>0</v>
      </c>
      <c r="BS16" s="255">
        <v>100</v>
      </c>
      <c r="BT16" s="255">
        <v>1</v>
      </c>
      <c r="BU16" s="255">
        <v>1</v>
      </c>
      <c r="BV16" s="255">
        <v>0</v>
      </c>
      <c r="BW16" s="255">
        <v>1</v>
      </c>
      <c r="BX16" s="255">
        <v>103.7</v>
      </c>
      <c r="BY16" s="255">
        <v>100</v>
      </c>
      <c r="BZ16" s="255">
        <v>0</v>
      </c>
      <c r="CA16" s="255">
        <v>100</v>
      </c>
      <c r="CB16" s="255">
        <v>8</v>
      </c>
      <c r="CC16" s="255">
        <v>8</v>
      </c>
      <c r="CD16" s="255">
        <v>0</v>
      </c>
      <c r="CE16" s="255">
        <v>6</v>
      </c>
      <c r="CF16" s="255">
        <v>77.78</v>
      </c>
      <c r="CG16" s="255">
        <v>75</v>
      </c>
      <c r="CH16" s="255">
        <v>0</v>
      </c>
      <c r="CI16" s="255">
        <v>100</v>
      </c>
      <c r="CJ16" s="255">
        <v>4</v>
      </c>
      <c r="CK16" s="255">
        <v>4</v>
      </c>
      <c r="CL16" s="255">
        <v>0</v>
      </c>
      <c r="CM16" s="255">
        <v>4</v>
      </c>
      <c r="CN16" s="255">
        <v>103.7</v>
      </c>
      <c r="CO16" s="255">
        <v>100</v>
      </c>
      <c r="CP16" s="255">
        <v>0</v>
      </c>
      <c r="CQ16" s="255">
        <v>100</v>
      </c>
      <c r="CR16" s="255">
        <v>4</v>
      </c>
      <c r="CS16" s="255">
        <v>4</v>
      </c>
      <c r="CT16" s="255">
        <v>0</v>
      </c>
      <c r="CU16" s="255">
        <v>9</v>
      </c>
      <c r="CV16" s="255">
        <v>233.33</v>
      </c>
      <c r="CW16" s="255">
        <v>225</v>
      </c>
      <c r="CX16" s="255">
        <v>0</v>
      </c>
      <c r="CY16" s="255">
        <v>100</v>
      </c>
      <c r="CZ16" s="255">
        <v>1</v>
      </c>
      <c r="DA16" s="255">
        <v>1</v>
      </c>
      <c r="DB16" s="255">
        <v>0</v>
      </c>
      <c r="DC16" s="255">
        <v>11</v>
      </c>
      <c r="DD16" s="255">
        <v>1140.74</v>
      </c>
      <c r="DE16" s="255">
        <v>1100</v>
      </c>
      <c r="DF16" s="255">
        <v>1</v>
      </c>
      <c r="DG16" s="255">
        <v>1000</v>
      </c>
    </row>
    <row r="17" spans="1:111" ht="14.65" thickBot="1" x14ac:dyDescent="0.5">
      <c r="A17" s="146" t="s">
        <v>244</v>
      </c>
      <c r="B17" s="147" t="s">
        <v>245</v>
      </c>
      <c r="C17" s="147" t="s">
        <v>246</v>
      </c>
      <c r="D17" s="147" t="s">
        <v>247</v>
      </c>
      <c r="E17" s="254" t="s">
        <v>105</v>
      </c>
      <c r="F17" s="254" t="s">
        <v>190</v>
      </c>
      <c r="G17" s="254" t="s">
        <v>179</v>
      </c>
      <c r="H17" s="255">
        <v>7</v>
      </c>
      <c r="I17" s="255">
        <v>7</v>
      </c>
      <c r="J17" s="255">
        <v>1</v>
      </c>
      <c r="K17" s="255">
        <v>6</v>
      </c>
      <c r="L17" s="255">
        <v>88.89</v>
      </c>
      <c r="M17" s="255">
        <v>85.71</v>
      </c>
      <c r="N17" s="255">
        <v>0</v>
      </c>
      <c r="O17" s="255">
        <v>100</v>
      </c>
      <c r="P17" s="255">
        <v>4</v>
      </c>
      <c r="Q17" s="255">
        <v>4</v>
      </c>
      <c r="R17" s="255">
        <v>0</v>
      </c>
      <c r="S17" s="255">
        <v>7</v>
      </c>
      <c r="T17" s="255">
        <v>181.48</v>
      </c>
      <c r="U17" s="255">
        <v>175</v>
      </c>
      <c r="V17" s="255">
        <v>0</v>
      </c>
      <c r="W17" s="255">
        <v>100</v>
      </c>
      <c r="X17" s="255">
        <v>3</v>
      </c>
      <c r="Y17" s="255">
        <v>3</v>
      </c>
      <c r="Z17" s="255">
        <v>0</v>
      </c>
      <c r="AA17" s="255">
        <v>1</v>
      </c>
      <c r="AB17" s="255">
        <v>34.57</v>
      </c>
      <c r="AC17" s="255">
        <v>33.33</v>
      </c>
      <c r="AD17" s="255">
        <v>0</v>
      </c>
      <c r="AE17" s="255">
        <v>100</v>
      </c>
      <c r="AF17" s="255">
        <v>4</v>
      </c>
      <c r="AG17" s="255">
        <v>4</v>
      </c>
      <c r="AH17" s="255">
        <v>0</v>
      </c>
      <c r="AI17" s="255">
        <v>5</v>
      </c>
      <c r="AJ17" s="255">
        <v>70.37</v>
      </c>
      <c r="AK17" s="255">
        <v>75</v>
      </c>
      <c r="AL17" s="255">
        <v>0</v>
      </c>
      <c r="AM17" s="255">
        <v>100</v>
      </c>
      <c r="AN17" s="255">
        <v>4</v>
      </c>
      <c r="AO17" s="255">
        <v>4</v>
      </c>
      <c r="AP17" s="255">
        <v>0</v>
      </c>
      <c r="AQ17" s="255">
        <v>0</v>
      </c>
      <c r="AR17" s="255">
        <v>0</v>
      </c>
      <c r="AS17" s="255">
        <v>0</v>
      </c>
      <c r="AT17" s="255">
        <v>0</v>
      </c>
      <c r="AU17" s="255">
        <v>100</v>
      </c>
      <c r="AV17" s="255">
        <v>34</v>
      </c>
      <c r="AW17" s="255">
        <v>35</v>
      </c>
      <c r="AX17" s="255">
        <v>0</v>
      </c>
      <c r="AY17" s="255">
        <v>57</v>
      </c>
      <c r="AZ17" s="255">
        <v>168.89</v>
      </c>
      <c r="BA17" s="255">
        <v>162.86000000000001</v>
      </c>
      <c r="BB17" s="255">
        <v>0</v>
      </c>
      <c r="BC17" s="255">
        <v>100</v>
      </c>
      <c r="BD17" s="255">
        <v>5</v>
      </c>
      <c r="BE17" s="255">
        <v>5</v>
      </c>
      <c r="BF17" s="255">
        <v>1</v>
      </c>
      <c r="BG17" s="255">
        <v>6</v>
      </c>
      <c r="BH17" s="255">
        <v>124.44</v>
      </c>
      <c r="BI17" s="255">
        <v>120</v>
      </c>
      <c r="BJ17" s="255">
        <v>0</v>
      </c>
      <c r="BK17" s="255">
        <v>100</v>
      </c>
      <c r="BL17" s="255">
        <v>0</v>
      </c>
      <c r="BM17" s="255">
        <v>0</v>
      </c>
      <c r="BN17" s="255">
        <v>0</v>
      </c>
      <c r="BO17" s="255">
        <v>0</v>
      </c>
      <c r="BP17" s="255">
        <v>100</v>
      </c>
      <c r="BQ17" s="255">
        <v>100</v>
      </c>
      <c r="BR17" s="255">
        <v>0</v>
      </c>
      <c r="BS17" s="255">
        <v>100</v>
      </c>
      <c r="BT17" s="255">
        <v>1</v>
      </c>
      <c r="BU17" s="255">
        <v>1</v>
      </c>
      <c r="BV17" s="255">
        <v>0</v>
      </c>
      <c r="BW17" s="255">
        <v>1</v>
      </c>
      <c r="BX17" s="255">
        <v>103.7</v>
      </c>
      <c r="BY17" s="255">
        <v>100</v>
      </c>
      <c r="BZ17" s="255">
        <v>0</v>
      </c>
      <c r="CA17" s="255">
        <v>100</v>
      </c>
      <c r="CB17" s="255">
        <v>8</v>
      </c>
      <c r="CC17" s="255">
        <v>8</v>
      </c>
      <c r="CD17" s="255">
        <v>0</v>
      </c>
      <c r="CE17" s="255">
        <v>12</v>
      </c>
      <c r="CF17" s="255">
        <v>155.56</v>
      </c>
      <c r="CG17" s="255">
        <v>150</v>
      </c>
      <c r="CH17" s="255">
        <v>0</v>
      </c>
      <c r="CI17" s="255">
        <v>100</v>
      </c>
      <c r="CJ17" s="255">
        <v>4</v>
      </c>
      <c r="CK17" s="255">
        <v>4</v>
      </c>
      <c r="CL17" s="255">
        <v>0</v>
      </c>
      <c r="CM17" s="255">
        <v>6</v>
      </c>
      <c r="CN17" s="255">
        <v>155.56</v>
      </c>
      <c r="CO17" s="255">
        <v>150</v>
      </c>
      <c r="CP17" s="255">
        <v>0</v>
      </c>
      <c r="CQ17" s="255">
        <v>100</v>
      </c>
      <c r="CR17" s="255">
        <v>4</v>
      </c>
      <c r="CS17" s="255">
        <v>4</v>
      </c>
      <c r="CT17" s="255">
        <v>0</v>
      </c>
      <c r="CU17" s="255">
        <v>5</v>
      </c>
      <c r="CV17" s="255">
        <v>129.63</v>
      </c>
      <c r="CW17" s="255">
        <v>125</v>
      </c>
      <c r="CX17" s="255">
        <v>0</v>
      </c>
      <c r="CY17" s="255">
        <v>100</v>
      </c>
      <c r="CZ17" s="255">
        <v>1</v>
      </c>
      <c r="DA17" s="255">
        <v>1</v>
      </c>
      <c r="DB17" s="255">
        <v>0</v>
      </c>
      <c r="DC17" s="255">
        <v>11</v>
      </c>
      <c r="DD17" s="255">
        <v>1140.74</v>
      </c>
      <c r="DE17" s="255">
        <v>1100</v>
      </c>
      <c r="DF17" s="255">
        <v>0</v>
      </c>
      <c r="DG17" s="255">
        <v>100</v>
      </c>
    </row>
    <row r="18" spans="1:111" ht="14.65" thickBot="1" x14ac:dyDescent="0.5">
      <c r="A18" s="146" t="s">
        <v>244</v>
      </c>
      <c r="B18" s="147" t="s">
        <v>245</v>
      </c>
      <c r="C18" s="147" t="s">
        <v>246</v>
      </c>
      <c r="D18" s="147" t="s">
        <v>247</v>
      </c>
      <c r="E18" s="254" t="s">
        <v>107</v>
      </c>
      <c r="F18" s="254" t="s">
        <v>191</v>
      </c>
      <c r="G18" s="254" t="s">
        <v>129</v>
      </c>
      <c r="H18" s="255">
        <v>7</v>
      </c>
      <c r="I18" s="255">
        <v>7</v>
      </c>
      <c r="J18" s="255">
        <v>0</v>
      </c>
      <c r="K18" s="255">
        <v>7</v>
      </c>
      <c r="L18" s="255">
        <v>103.7</v>
      </c>
      <c r="M18" s="255">
        <v>100</v>
      </c>
      <c r="N18" s="255">
        <v>0</v>
      </c>
      <c r="O18" s="255">
        <v>100</v>
      </c>
      <c r="P18" s="255">
        <v>4</v>
      </c>
      <c r="Q18" s="255">
        <v>4</v>
      </c>
      <c r="R18" s="255">
        <v>0</v>
      </c>
      <c r="S18" s="255">
        <v>10</v>
      </c>
      <c r="T18" s="255">
        <v>259.26</v>
      </c>
      <c r="U18" s="255">
        <v>250</v>
      </c>
      <c r="V18" s="255">
        <v>0</v>
      </c>
      <c r="W18" s="255">
        <v>100</v>
      </c>
      <c r="X18" s="255">
        <v>3</v>
      </c>
      <c r="Y18" s="255">
        <v>3</v>
      </c>
      <c r="Z18" s="255">
        <v>0</v>
      </c>
      <c r="AA18" s="255">
        <v>2</v>
      </c>
      <c r="AB18" s="255">
        <v>69.14</v>
      </c>
      <c r="AC18" s="255">
        <v>66.67</v>
      </c>
      <c r="AD18" s="255">
        <v>0</v>
      </c>
      <c r="AE18" s="255">
        <v>100</v>
      </c>
      <c r="AF18" s="255">
        <v>5</v>
      </c>
      <c r="AG18" s="255">
        <v>5</v>
      </c>
      <c r="AH18" s="255">
        <v>0</v>
      </c>
      <c r="AI18" s="255">
        <v>5</v>
      </c>
      <c r="AJ18" s="255">
        <v>96.3</v>
      </c>
      <c r="AK18" s="255">
        <v>100</v>
      </c>
      <c r="AL18" s="255">
        <v>0</v>
      </c>
      <c r="AM18" s="255">
        <v>100</v>
      </c>
      <c r="AN18" s="255">
        <v>4</v>
      </c>
      <c r="AO18" s="255">
        <v>4</v>
      </c>
      <c r="AP18" s="255">
        <v>0</v>
      </c>
      <c r="AQ18" s="255">
        <v>0</v>
      </c>
      <c r="AR18" s="255">
        <v>0</v>
      </c>
      <c r="AS18" s="255">
        <v>0</v>
      </c>
      <c r="AT18" s="255">
        <v>0</v>
      </c>
      <c r="AU18" s="255">
        <v>100</v>
      </c>
      <c r="AV18" s="255">
        <v>29</v>
      </c>
      <c r="AW18" s="255">
        <v>30</v>
      </c>
      <c r="AX18" s="255">
        <v>0</v>
      </c>
      <c r="AY18" s="255">
        <v>73</v>
      </c>
      <c r="AZ18" s="255">
        <v>252.35</v>
      </c>
      <c r="BA18" s="255">
        <v>243.33</v>
      </c>
      <c r="BB18" s="255">
        <v>0</v>
      </c>
      <c r="BC18" s="255">
        <v>100</v>
      </c>
      <c r="BD18" s="255">
        <v>5</v>
      </c>
      <c r="BE18" s="255">
        <v>5</v>
      </c>
      <c r="BF18" s="255">
        <v>1</v>
      </c>
      <c r="BG18" s="255">
        <v>3</v>
      </c>
      <c r="BH18" s="255">
        <v>62.22</v>
      </c>
      <c r="BI18" s="255">
        <v>60</v>
      </c>
      <c r="BJ18" s="255">
        <v>0</v>
      </c>
      <c r="BK18" s="255">
        <v>100</v>
      </c>
      <c r="BL18" s="255">
        <v>0</v>
      </c>
      <c r="BM18" s="255">
        <v>0</v>
      </c>
      <c r="BN18" s="255">
        <v>0</v>
      </c>
      <c r="BO18" s="255">
        <v>2</v>
      </c>
      <c r="BP18" s="255">
        <v>100</v>
      </c>
      <c r="BQ18" s="255">
        <v>100</v>
      </c>
      <c r="BR18" s="255">
        <v>0</v>
      </c>
      <c r="BS18" s="255">
        <v>100</v>
      </c>
      <c r="BT18" s="255">
        <v>1</v>
      </c>
      <c r="BU18" s="255">
        <v>1</v>
      </c>
      <c r="BV18" s="255">
        <v>0</v>
      </c>
      <c r="BW18" s="255">
        <v>1</v>
      </c>
      <c r="BX18" s="255">
        <v>103.7</v>
      </c>
      <c r="BY18" s="255">
        <v>100</v>
      </c>
      <c r="BZ18" s="255">
        <v>0</v>
      </c>
      <c r="CA18" s="255">
        <v>100</v>
      </c>
      <c r="CB18" s="255">
        <v>8</v>
      </c>
      <c r="CC18" s="255">
        <v>8</v>
      </c>
      <c r="CD18" s="255">
        <v>0</v>
      </c>
      <c r="CE18" s="255">
        <v>8</v>
      </c>
      <c r="CF18" s="255">
        <v>103.7</v>
      </c>
      <c r="CG18" s="255">
        <v>100</v>
      </c>
      <c r="CH18" s="255">
        <v>0</v>
      </c>
      <c r="CI18" s="255">
        <v>100</v>
      </c>
      <c r="CJ18" s="255">
        <v>4</v>
      </c>
      <c r="CK18" s="255">
        <v>4</v>
      </c>
      <c r="CL18" s="255">
        <v>0</v>
      </c>
      <c r="CM18" s="255">
        <v>6</v>
      </c>
      <c r="CN18" s="255">
        <v>155.56</v>
      </c>
      <c r="CO18" s="255">
        <v>150</v>
      </c>
      <c r="CP18" s="255">
        <v>0</v>
      </c>
      <c r="CQ18" s="255">
        <v>100</v>
      </c>
      <c r="CR18" s="255">
        <v>4</v>
      </c>
      <c r="CS18" s="255">
        <v>4</v>
      </c>
      <c r="CT18" s="255">
        <v>0</v>
      </c>
      <c r="CU18" s="255">
        <v>8</v>
      </c>
      <c r="CV18" s="255">
        <v>207.41</v>
      </c>
      <c r="CW18" s="255">
        <v>200</v>
      </c>
      <c r="CX18" s="255">
        <v>0</v>
      </c>
      <c r="CY18" s="255">
        <v>100</v>
      </c>
      <c r="CZ18" s="255">
        <v>1</v>
      </c>
      <c r="DA18" s="255">
        <v>1</v>
      </c>
      <c r="DB18" s="255">
        <v>0</v>
      </c>
      <c r="DC18" s="255">
        <v>12</v>
      </c>
      <c r="DD18" s="255">
        <v>1244.44</v>
      </c>
      <c r="DE18" s="255">
        <v>1200</v>
      </c>
      <c r="DF18" s="255">
        <v>1</v>
      </c>
      <c r="DG18" s="255">
        <v>1100</v>
      </c>
    </row>
    <row r="19" spans="1:111" ht="14.65" thickBot="1" x14ac:dyDescent="0.5">
      <c r="A19" s="146" t="s">
        <v>244</v>
      </c>
      <c r="B19" s="147" t="s">
        <v>245</v>
      </c>
      <c r="C19" s="147" t="s">
        <v>246</v>
      </c>
      <c r="D19" s="147" t="s">
        <v>247</v>
      </c>
      <c r="E19" s="254" t="s">
        <v>110</v>
      </c>
      <c r="F19" s="254" t="s">
        <v>192</v>
      </c>
      <c r="G19" s="254" t="s">
        <v>128</v>
      </c>
      <c r="H19" s="255">
        <v>8</v>
      </c>
      <c r="I19" s="255">
        <v>8</v>
      </c>
      <c r="J19" s="255">
        <v>0</v>
      </c>
      <c r="K19" s="255">
        <v>8</v>
      </c>
      <c r="L19" s="255">
        <v>103.7</v>
      </c>
      <c r="M19" s="255">
        <v>100</v>
      </c>
      <c r="N19" s="255">
        <v>0</v>
      </c>
      <c r="O19" s="255">
        <v>100</v>
      </c>
      <c r="P19" s="255">
        <v>4</v>
      </c>
      <c r="Q19" s="255">
        <v>4</v>
      </c>
      <c r="R19" s="255">
        <v>0</v>
      </c>
      <c r="S19" s="255">
        <v>2</v>
      </c>
      <c r="T19" s="255">
        <v>51.85</v>
      </c>
      <c r="U19" s="255">
        <v>50</v>
      </c>
      <c r="V19" s="255">
        <v>0</v>
      </c>
      <c r="W19" s="255">
        <v>100</v>
      </c>
      <c r="X19" s="255">
        <v>2</v>
      </c>
      <c r="Y19" s="255">
        <v>2</v>
      </c>
      <c r="Z19" s="255">
        <v>0</v>
      </c>
      <c r="AA19" s="255">
        <v>0</v>
      </c>
      <c r="AB19" s="255">
        <v>0</v>
      </c>
      <c r="AC19" s="255">
        <v>0</v>
      </c>
      <c r="AD19" s="255">
        <v>0</v>
      </c>
      <c r="AE19" s="255">
        <v>100</v>
      </c>
      <c r="AF19" s="255">
        <v>5</v>
      </c>
      <c r="AG19" s="255">
        <v>5</v>
      </c>
      <c r="AH19" s="255">
        <v>0</v>
      </c>
      <c r="AI19" s="255">
        <v>6</v>
      </c>
      <c r="AJ19" s="255">
        <v>75.56</v>
      </c>
      <c r="AK19" s="255">
        <v>80</v>
      </c>
      <c r="AL19" s="255">
        <v>0</v>
      </c>
      <c r="AM19" s="255">
        <v>100</v>
      </c>
      <c r="AN19" s="255">
        <v>4</v>
      </c>
      <c r="AO19" s="255">
        <v>4</v>
      </c>
      <c r="AP19" s="255">
        <v>0</v>
      </c>
      <c r="AQ19" s="255">
        <v>0</v>
      </c>
      <c r="AR19" s="255">
        <v>0</v>
      </c>
      <c r="AS19" s="255">
        <v>0</v>
      </c>
      <c r="AT19" s="255">
        <v>0</v>
      </c>
      <c r="AU19" s="255">
        <v>100</v>
      </c>
      <c r="AV19" s="255">
        <v>29</v>
      </c>
      <c r="AW19" s="255">
        <v>30</v>
      </c>
      <c r="AX19" s="255">
        <v>0</v>
      </c>
      <c r="AY19" s="255">
        <v>13</v>
      </c>
      <c r="AZ19" s="255">
        <v>44.94</v>
      </c>
      <c r="BA19" s="255">
        <v>43.33</v>
      </c>
      <c r="BB19" s="255">
        <v>0</v>
      </c>
      <c r="BC19" s="255">
        <v>100</v>
      </c>
      <c r="BD19" s="255">
        <v>5</v>
      </c>
      <c r="BE19" s="255">
        <v>5</v>
      </c>
      <c r="BF19" s="255">
        <v>0</v>
      </c>
      <c r="BG19" s="255">
        <v>2</v>
      </c>
      <c r="BH19" s="255">
        <v>41.48</v>
      </c>
      <c r="BI19" s="255">
        <v>40</v>
      </c>
      <c r="BJ19" s="255">
        <v>0</v>
      </c>
      <c r="BK19" s="255">
        <v>100</v>
      </c>
      <c r="BL19" s="255">
        <v>0</v>
      </c>
      <c r="BM19" s="255">
        <v>0</v>
      </c>
      <c r="BN19" s="255">
        <v>0</v>
      </c>
      <c r="BO19" s="255">
        <v>0</v>
      </c>
      <c r="BP19" s="255">
        <v>100</v>
      </c>
      <c r="BQ19" s="255">
        <v>100</v>
      </c>
      <c r="BR19" s="255">
        <v>0</v>
      </c>
      <c r="BS19" s="255">
        <v>100</v>
      </c>
      <c r="BT19" s="255">
        <v>1</v>
      </c>
      <c r="BU19" s="255">
        <v>1</v>
      </c>
      <c r="BV19" s="255">
        <v>0</v>
      </c>
      <c r="BW19" s="255">
        <v>1</v>
      </c>
      <c r="BX19" s="255">
        <v>103.7</v>
      </c>
      <c r="BY19" s="255">
        <v>100</v>
      </c>
      <c r="BZ19" s="255">
        <v>0</v>
      </c>
      <c r="CA19" s="255">
        <v>100</v>
      </c>
      <c r="CB19" s="255">
        <v>9</v>
      </c>
      <c r="CC19" s="255">
        <v>9</v>
      </c>
      <c r="CD19" s="255">
        <v>0</v>
      </c>
      <c r="CE19" s="255">
        <v>10</v>
      </c>
      <c r="CF19" s="255">
        <v>115.23</v>
      </c>
      <c r="CG19" s="255">
        <v>111.11</v>
      </c>
      <c r="CH19" s="255">
        <v>0</v>
      </c>
      <c r="CI19" s="255">
        <v>100</v>
      </c>
      <c r="CJ19" s="255">
        <v>5</v>
      </c>
      <c r="CK19" s="255">
        <v>5</v>
      </c>
      <c r="CL19" s="255">
        <v>0</v>
      </c>
      <c r="CM19" s="255">
        <v>3</v>
      </c>
      <c r="CN19" s="255">
        <v>62.22</v>
      </c>
      <c r="CO19" s="255">
        <v>60</v>
      </c>
      <c r="CP19" s="255">
        <v>0</v>
      </c>
      <c r="CQ19" s="255">
        <v>100</v>
      </c>
      <c r="CR19" s="255">
        <v>3</v>
      </c>
      <c r="CS19" s="255">
        <v>3</v>
      </c>
      <c r="CT19" s="255">
        <v>0</v>
      </c>
      <c r="CU19" s="255">
        <v>2</v>
      </c>
      <c r="CV19" s="255">
        <v>69.14</v>
      </c>
      <c r="CW19" s="255">
        <v>66.67</v>
      </c>
      <c r="CX19" s="255">
        <v>0</v>
      </c>
      <c r="CY19" s="255">
        <v>100</v>
      </c>
      <c r="CZ19" s="255">
        <v>1</v>
      </c>
      <c r="DA19" s="255">
        <v>1</v>
      </c>
      <c r="DB19" s="255">
        <v>0</v>
      </c>
      <c r="DC19" s="255">
        <v>1</v>
      </c>
      <c r="DD19" s="255">
        <v>103.7</v>
      </c>
      <c r="DE19" s="255">
        <v>100</v>
      </c>
      <c r="DF19" s="255">
        <v>0</v>
      </c>
      <c r="DG19" s="255">
        <v>100</v>
      </c>
    </row>
    <row r="20" spans="1:111" ht="14.65" thickBot="1" x14ac:dyDescent="0.5">
      <c r="A20" s="146" t="s">
        <v>244</v>
      </c>
      <c r="B20" s="147" t="s">
        <v>245</v>
      </c>
      <c r="C20" s="147" t="s">
        <v>246</v>
      </c>
      <c r="D20" s="147" t="s">
        <v>247</v>
      </c>
      <c r="E20" s="254" t="s">
        <v>113</v>
      </c>
      <c r="F20" s="254" t="s">
        <v>193</v>
      </c>
      <c r="G20" s="254" t="s">
        <v>129</v>
      </c>
      <c r="H20" s="255">
        <v>7</v>
      </c>
      <c r="I20" s="255">
        <v>7</v>
      </c>
      <c r="J20" s="255">
        <v>0</v>
      </c>
      <c r="K20" s="255">
        <v>7</v>
      </c>
      <c r="L20" s="255">
        <v>103.7</v>
      </c>
      <c r="M20" s="255">
        <v>100</v>
      </c>
      <c r="N20" s="255">
        <v>0</v>
      </c>
      <c r="O20" s="255">
        <v>100</v>
      </c>
      <c r="P20" s="255">
        <v>4</v>
      </c>
      <c r="Q20" s="255">
        <v>4</v>
      </c>
      <c r="R20" s="255">
        <v>0</v>
      </c>
      <c r="S20" s="255">
        <v>5</v>
      </c>
      <c r="T20" s="255">
        <v>129.63</v>
      </c>
      <c r="U20" s="255">
        <v>125</v>
      </c>
      <c r="V20" s="255">
        <v>0</v>
      </c>
      <c r="W20" s="255">
        <v>100</v>
      </c>
      <c r="X20" s="255">
        <v>2</v>
      </c>
      <c r="Y20" s="255">
        <v>2</v>
      </c>
      <c r="Z20" s="255">
        <v>0</v>
      </c>
      <c r="AA20" s="255">
        <v>0</v>
      </c>
      <c r="AB20" s="255">
        <v>0</v>
      </c>
      <c r="AC20" s="255">
        <v>0</v>
      </c>
      <c r="AD20" s="255">
        <v>0</v>
      </c>
      <c r="AE20" s="255">
        <v>100</v>
      </c>
      <c r="AF20" s="255">
        <v>4</v>
      </c>
      <c r="AG20" s="255">
        <v>4</v>
      </c>
      <c r="AH20" s="255">
        <v>0</v>
      </c>
      <c r="AI20" s="255">
        <v>2</v>
      </c>
      <c r="AJ20" s="255">
        <v>148.15</v>
      </c>
      <c r="AK20" s="255">
        <v>150</v>
      </c>
      <c r="AL20" s="255">
        <v>0</v>
      </c>
      <c r="AM20" s="255">
        <v>100</v>
      </c>
      <c r="AN20" s="255">
        <v>4</v>
      </c>
      <c r="AO20" s="255">
        <v>4</v>
      </c>
      <c r="AP20" s="255">
        <v>0</v>
      </c>
      <c r="AQ20" s="255">
        <v>0</v>
      </c>
      <c r="AR20" s="255">
        <v>0</v>
      </c>
      <c r="AS20" s="255">
        <v>0</v>
      </c>
      <c r="AT20" s="255">
        <v>0</v>
      </c>
      <c r="AU20" s="255">
        <v>100</v>
      </c>
      <c r="AV20" s="255">
        <v>29</v>
      </c>
      <c r="AW20" s="255">
        <v>30</v>
      </c>
      <c r="AX20" s="255">
        <v>0</v>
      </c>
      <c r="AY20" s="255">
        <v>52</v>
      </c>
      <c r="AZ20" s="255">
        <v>179.75</v>
      </c>
      <c r="BA20" s="255">
        <v>173.33</v>
      </c>
      <c r="BB20" s="255">
        <v>0</v>
      </c>
      <c r="BC20" s="255">
        <v>100</v>
      </c>
      <c r="BD20" s="255">
        <v>5</v>
      </c>
      <c r="BE20" s="255">
        <v>5</v>
      </c>
      <c r="BF20" s="255">
        <v>1</v>
      </c>
      <c r="BG20" s="255">
        <v>4</v>
      </c>
      <c r="BH20" s="255">
        <v>82.96</v>
      </c>
      <c r="BI20" s="255">
        <v>80</v>
      </c>
      <c r="BJ20" s="255">
        <v>0</v>
      </c>
      <c r="BK20" s="255">
        <v>100</v>
      </c>
      <c r="BL20" s="255">
        <v>0</v>
      </c>
      <c r="BM20" s="255">
        <v>0</v>
      </c>
      <c r="BN20" s="255">
        <v>0</v>
      </c>
      <c r="BO20" s="255">
        <v>0</v>
      </c>
      <c r="BP20" s="255">
        <v>100</v>
      </c>
      <c r="BQ20" s="255">
        <v>100</v>
      </c>
      <c r="BR20" s="255">
        <v>0</v>
      </c>
      <c r="BS20" s="255">
        <v>100</v>
      </c>
      <c r="BT20" s="255">
        <v>1</v>
      </c>
      <c r="BU20" s="255">
        <v>1</v>
      </c>
      <c r="BV20" s="255">
        <v>2</v>
      </c>
      <c r="BW20" s="255">
        <v>3</v>
      </c>
      <c r="BX20" s="255">
        <v>311.11</v>
      </c>
      <c r="BY20" s="255">
        <v>300</v>
      </c>
      <c r="BZ20" s="255">
        <v>0</v>
      </c>
      <c r="CA20" s="255">
        <v>100</v>
      </c>
      <c r="CB20" s="255">
        <v>8</v>
      </c>
      <c r="CC20" s="255">
        <v>8</v>
      </c>
      <c r="CD20" s="255">
        <v>0</v>
      </c>
      <c r="CE20" s="255">
        <v>6</v>
      </c>
      <c r="CF20" s="255">
        <v>77.78</v>
      </c>
      <c r="CG20" s="255">
        <v>75</v>
      </c>
      <c r="CH20" s="255">
        <v>0</v>
      </c>
      <c r="CI20" s="255">
        <v>100</v>
      </c>
      <c r="CJ20" s="255">
        <v>4</v>
      </c>
      <c r="CK20" s="255">
        <v>4</v>
      </c>
      <c r="CL20" s="255">
        <v>0</v>
      </c>
      <c r="CM20" s="255">
        <v>3</v>
      </c>
      <c r="CN20" s="255">
        <v>77.78</v>
      </c>
      <c r="CO20" s="255">
        <v>75</v>
      </c>
      <c r="CP20" s="255">
        <v>1</v>
      </c>
      <c r="CQ20" s="255">
        <v>200</v>
      </c>
      <c r="CR20" s="255">
        <v>4</v>
      </c>
      <c r="CS20" s="255">
        <v>4</v>
      </c>
      <c r="CT20" s="255">
        <v>0</v>
      </c>
      <c r="CU20" s="255">
        <v>4</v>
      </c>
      <c r="CV20" s="255">
        <v>103.7</v>
      </c>
      <c r="CW20" s="255">
        <v>100</v>
      </c>
      <c r="CX20" s="255">
        <v>0</v>
      </c>
      <c r="CY20" s="255">
        <v>100</v>
      </c>
      <c r="CZ20" s="255">
        <v>1</v>
      </c>
      <c r="DA20" s="255">
        <v>1</v>
      </c>
      <c r="DB20" s="255">
        <v>0</v>
      </c>
      <c r="DC20" s="255">
        <v>1</v>
      </c>
      <c r="DD20" s="255">
        <v>103.7</v>
      </c>
      <c r="DE20" s="255">
        <v>100</v>
      </c>
      <c r="DF20" s="255">
        <v>0</v>
      </c>
      <c r="DG20" s="255">
        <v>100</v>
      </c>
    </row>
    <row r="21" spans="1:111" ht="14.65" thickBot="1" x14ac:dyDescent="0.5">
      <c r="A21" s="146" t="s">
        <v>244</v>
      </c>
      <c r="B21" s="147" t="s">
        <v>245</v>
      </c>
      <c r="C21" s="147" t="s">
        <v>246</v>
      </c>
      <c r="D21" s="147" t="s">
        <v>247</v>
      </c>
      <c r="E21" s="254" t="s">
        <v>115</v>
      </c>
      <c r="F21" s="254" t="s">
        <v>194</v>
      </c>
      <c r="G21" s="254" t="s">
        <v>179</v>
      </c>
      <c r="H21" s="255">
        <v>5</v>
      </c>
      <c r="I21" s="255">
        <v>5</v>
      </c>
      <c r="J21" s="255">
        <v>0</v>
      </c>
      <c r="K21" s="255">
        <v>3</v>
      </c>
      <c r="L21" s="255">
        <v>62.22</v>
      </c>
      <c r="M21" s="255">
        <v>60</v>
      </c>
      <c r="N21" s="255">
        <v>1</v>
      </c>
      <c r="O21" s="255">
        <v>200</v>
      </c>
      <c r="P21" s="255">
        <v>3</v>
      </c>
      <c r="Q21" s="255">
        <v>3</v>
      </c>
      <c r="R21" s="255">
        <v>0</v>
      </c>
      <c r="S21" s="255">
        <v>3</v>
      </c>
      <c r="T21" s="255">
        <v>103.7</v>
      </c>
      <c r="U21" s="255">
        <v>100</v>
      </c>
      <c r="V21" s="255">
        <v>1</v>
      </c>
      <c r="W21" s="255">
        <v>200</v>
      </c>
      <c r="X21" s="255">
        <v>2</v>
      </c>
      <c r="Y21" s="255">
        <v>2</v>
      </c>
      <c r="Z21" s="255">
        <v>0</v>
      </c>
      <c r="AA21" s="255">
        <v>0</v>
      </c>
      <c r="AB21" s="255">
        <v>0</v>
      </c>
      <c r="AC21" s="255">
        <v>0</v>
      </c>
      <c r="AD21" s="255">
        <v>0</v>
      </c>
      <c r="AE21" s="255">
        <v>100</v>
      </c>
      <c r="AF21" s="255">
        <v>3</v>
      </c>
      <c r="AG21" s="255">
        <v>3</v>
      </c>
      <c r="AH21" s="255">
        <v>0</v>
      </c>
      <c r="AI21" s="255">
        <v>2</v>
      </c>
      <c r="AJ21" s="255">
        <v>130.86000000000001</v>
      </c>
      <c r="AK21" s="255">
        <v>133.33000000000001</v>
      </c>
      <c r="AL21" s="255">
        <v>0</v>
      </c>
      <c r="AM21" s="255">
        <v>100</v>
      </c>
      <c r="AN21" s="255">
        <v>4</v>
      </c>
      <c r="AO21" s="255">
        <v>4</v>
      </c>
      <c r="AP21" s="255">
        <v>0</v>
      </c>
      <c r="AQ21" s="255">
        <v>0</v>
      </c>
      <c r="AR21" s="255">
        <v>0</v>
      </c>
      <c r="AS21" s="255">
        <v>0</v>
      </c>
      <c r="AT21" s="255">
        <v>0</v>
      </c>
      <c r="AU21" s="255">
        <v>100</v>
      </c>
      <c r="AV21" s="255">
        <v>19</v>
      </c>
      <c r="AW21" s="255">
        <v>20</v>
      </c>
      <c r="AX21" s="255">
        <v>0</v>
      </c>
      <c r="AY21" s="255">
        <v>27</v>
      </c>
      <c r="AZ21" s="255">
        <v>140</v>
      </c>
      <c r="BA21" s="255">
        <v>135</v>
      </c>
      <c r="BB21" s="255">
        <v>0</v>
      </c>
      <c r="BC21" s="255">
        <v>100</v>
      </c>
      <c r="BD21" s="255">
        <v>5</v>
      </c>
      <c r="BE21" s="255">
        <v>5</v>
      </c>
      <c r="BF21" s="255">
        <v>1</v>
      </c>
      <c r="BG21" s="255">
        <v>2</v>
      </c>
      <c r="BH21" s="255">
        <v>41.48</v>
      </c>
      <c r="BI21" s="255">
        <v>40</v>
      </c>
      <c r="BJ21" s="255">
        <v>0</v>
      </c>
      <c r="BK21" s="255">
        <v>100</v>
      </c>
      <c r="BL21" s="255">
        <v>0</v>
      </c>
      <c r="BM21" s="255">
        <v>0</v>
      </c>
      <c r="BN21" s="255">
        <v>0</v>
      </c>
      <c r="BO21" s="255">
        <v>0</v>
      </c>
      <c r="BP21" s="255">
        <v>100</v>
      </c>
      <c r="BQ21" s="255">
        <v>100</v>
      </c>
      <c r="BR21" s="255">
        <v>0</v>
      </c>
      <c r="BS21" s="255">
        <v>100</v>
      </c>
      <c r="BT21" s="255">
        <v>1</v>
      </c>
      <c r="BU21" s="255">
        <v>1</v>
      </c>
      <c r="BV21" s="255">
        <v>0</v>
      </c>
      <c r="BW21" s="255">
        <v>1</v>
      </c>
      <c r="BX21" s="255">
        <v>103.7</v>
      </c>
      <c r="BY21" s="255">
        <v>100</v>
      </c>
      <c r="BZ21" s="255">
        <v>0</v>
      </c>
      <c r="CA21" s="255">
        <v>100</v>
      </c>
      <c r="CB21" s="255">
        <v>8</v>
      </c>
      <c r="CC21" s="255">
        <v>8</v>
      </c>
      <c r="CD21" s="255">
        <v>0</v>
      </c>
      <c r="CE21" s="255">
        <v>1</v>
      </c>
      <c r="CF21" s="255">
        <v>12.96</v>
      </c>
      <c r="CG21" s="255">
        <v>12.5</v>
      </c>
      <c r="CH21" s="255">
        <v>0</v>
      </c>
      <c r="CI21" s="255">
        <v>100</v>
      </c>
      <c r="CJ21" s="255">
        <v>4</v>
      </c>
      <c r="CK21" s="255">
        <v>4</v>
      </c>
      <c r="CL21" s="255">
        <v>0</v>
      </c>
      <c r="CM21" s="255">
        <v>3</v>
      </c>
      <c r="CN21" s="255">
        <v>77.78</v>
      </c>
      <c r="CO21" s="255">
        <v>75</v>
      </c>
      <c r="CP21" s="255">
        <v>0</v>
      </c>
      <c r="CQ21" s="255">
        <v>100</v>
      </c>
      <c r="CR21" s="255">
        <v>3</v>
      </c>
      <c r="CS21" s="255">
        <v>3</v>
      </c>
      <c r="CT21" s="255">
        <v>0</v>
      </c>
      <c r="CU21" s="255">
        <v>4</v>
      </c>
      <c r="CV21" s="255">
        <v>138.27000000000001</v>
      </c>
      <c r="CW21" s="255">
        <v>133.33000000000001</v>
      </c>
      <c r="CX21" s="255">
        <v>0</v>
      </c>
      <c r="CY21" s="255">
        <v>100</v>
      </c>
      <c r="CZ21" s="255">
        <v>1</v>
      </c>
      <c r="DA21" s="255">
        <v>1</v>
      </c>
      <c r="DB21" s="255">
        <v>0</v>
      </c>
      <c r="DC21" s="255">
        <v>3</v>
      </c>
      <c r="DD21" s="255">
        <v>311.11</v>
      </c>
      <c r="DE21" s="255">
        <v>300</v>
      </c>
      <c r="DF21" s="255">
        <v>1</v>
      </c>
      <c r="DG21" s="255">
        <v>200</v>
      </c>
    </row>
    <row r="22" spans="1:111" ht="14.65" thickBot="1" x14ac:dyDescent="0.5">
      <c r="A22" s="146" t="s">
        <v>244</v>
      </c>
      <c r="B22" s="147" t="s">
        <v>245</v>
      </c>
      <c r="C22" s="147" t="s">
        <v>246</v>
      </c>
      <c r="D22" s="147" t="s">
        <v>247</v>
      </c>
      <c r="E22" s="254" t="s">
        <v>117</v>
      </c>
      <c r="F22" s="254" t="s">
        <v>195</v>
      </c>
      <c r="G22" s="254" t="s">
        <v>128</v>
      </c>
      <c r="H22" s="255">
        <v>8</v>
      </c>
      <c r="I22" s="255">
        <v>8</v>
      </c>
      <c r="J22" s="255">
        <v>0</v>
      </c>
      <c r="K22" s="255">
        <v>8</v>
      </c>
      <c r="L22" s="255">
        <v>103.7</v>
      </c>
      <c r="M22" s="255">
        <v>100</v>
      </c>
      <c r="N22" s="255">
        <v>0</v>
      </c>
      <c r="O22" s="255">
        <v>100</v>
      </c>
      <c r="P22" s="255">
        <v>4</v>
      </c>
      <c r="Q22" s="255">
        <v>4</v>
      </c>
      <c r="R22" s="255">
        <v>0</v>
      </c>
      <c r="S22" s="255">
        <v>6</v>
      </c>
      <c r="T22" s="255">
        <v>155.56</v>
      </c>
      <c r="U22" s="255">
        <v>150</v>
      </c>
      <c r="V22" s="255">
        <v>0</v>
      </c>
      <c r="W22" s="255">
        <v>100</v>
      </c>
      <c r="X22" s="255">
        <v>3</v>
      </c>
      <c r="Y22" s="255">
        <v>3</v>
      </c>
      <c r="Z22" s="255">
        <v>0</v>
      </c>
      <c r="AA22" s="255">
        <v>0</v>
      </c>
      <c r="AB22" s="255">
        <v>0</v>
      </c>
      <c r="AC22" s="255">
        <v>0</v>
      </c>
      <c r="AD22" s="255">
        <v>5</v>
      </c>
      <c r="AE22" s="255">
        <v>-100</v>
      </c>
      <c r="AF22" s="255">
        <v>5</v>
      </c>
      <c r="AG22" s="255">
        <v>5</v>
      </c>
      <c r="AH22" s="255">
        <v>0</v>
      </c>
      <c r="AI22" s="255">
        <v>3</v>
      </c>
      <c r="AJ22" s="255">
        <v>137.78</v>
      </c>
      <c r="AK22" s="255">
        <v>140</v>
      </c>
      <c r="AL22" s="255">
        <v>0</v>
      </c>
      <c r="AM22" s="255">
        <v>100</v>
      </c>
      <c r="AN22" s="255">
        <v>4</v>
      </c>
      <c r="AO22" s="255">
        <v>4</v>
      </c>
      <c r="AP22" s="255">
        <v>0</v>
      </c>
      <c r="AQ22" s="255">
        <v>0</v>
      </c>
      <c r="AR22" s="255">
        <v>0</v>
      </c>
      <c r="AS22" s="255">
        <v>0</v>
      </c>
      <c r="AT22" s="255">
        <v>0</v>
      </c>
      <c r="AU22" s="255">
        <v>100</v>
      </c>
      <c r="AV22" s="255">
        <v>29</v>
      </c>
      <c r="AW22" s="255">
        <v>30</v>
      </c>
      <c r="AX22" s="255">
        <v>0</v>
      </c>
      <c r="AY22" s="255">
        <v>73</v>
      </c>
      <c r="AZ22" s="255">
        <v>252.35</v>
      </c>
      <c r="BA22" s="255">
        <v>243.33</v>
      </c>
      <c r="BB22" s="255">
        <v>0</v>
      </c>
      <c r="BC22" s="255">
        <v>100</v>
      </c>
      <c r="BD22" s="255">
        <v>5</v>
      </c>
      <c r="BE22" s="255">
        <v>5</v>
      </c>
      <c r="BF22" s="255">
        <v>0</v>
      </c>
      <c r="BG22" s="255">
        <v>3</v>
      </c>
      <c r="BH22" s="255">
        <v>62.22</v>
      </c>
      <c r="BI22" s="255">
        <v>60</v>
      </c>
      <c r="BJ22" s="255">
        <v>0</v>
      </c>
      <c r="BK22" s="255">
        <v>100</v>
      </c>
      <c r="BL22" s="255">
        <v>0</v>
      </c>
      <c r="BM22" s="255">
        <v>0</v>
      </c>
      <c r="BN22" s="255">
        <v>0</v>
      </c>
      <c r="BO22" s="255">
        <v>2</v>
      </c>
      <c r="BP22" s="255">
        <v>100</v>
      </c>
      <c r="BQ22" s="255">
        <v>100</v>
      </c>
      <c r="BR22" s="255">
        <v>0</v>
      </c>
      <c r="BS22" s="255">
        <v>100</v>
      </c>
      <c r="BT22" s="255">
        <v>1</v>
      </c>
      <c r="BU22" s="255">
        <v>1</v>
      </c>
      <c r="BV22" s="255">
        <v>0</v>
      </c>
      <c r="BW22" s="255">
        <v>2</v>
      </c>
      <c r="BX22" s="255">
        <v>207.41</v>
      </c>
      <c r="BY22" s="255">
        <v>200</v>
      </c>
      <c r="BZ22" s="255">
        <v>0</v>
      </c>
      <c r="CA22" s="255">
        <v>100</v>
      </c>
      <c r="CB22" s="255">
        <v>9</v>
      </c>
      <c r="CC22" s="255">
        <v>9</v>
      </c>
      <c r="CD22" s="255">
        <v>0</v>
      </c>
      <c r="CE22" s="255">
        <v>12</v>
      </c>
      <c r="CF22" s="255">
        <v>138.27000000000001</v>
      </c>
      <c r="CG22" s="255">
        <v>133.33000000000001</v>
      </c>
      <c r="CH22" s="255">
        <v>0</v>
      </c>
      <c r="CI22" s="255">
        <v>100</v>
      </c>
      <c r="CJ22" s="255">
        <v>5</v>
      </c>
      <c r="CK22" s="255">
        <v>5</v>
      </c>
      <c r="CL22" s="255">
        <v>0</v>
      </c>
      <c r="CM22" s="255">
        <v>4</v>
      </c>
      <c r="CN22" s="255">
        <v>82.96</v>
      </c>
      <c r="CO22" s="255">
        <v>80</v>
      </c>
      <c r="CP22" s="255">
        <v>0</v>
      </c>
      <c r="CQ22" s="255">
        <v>100</v>
      </c>
      <c r="CR22" s="255">
        <v>4</v>
      </c>
      <c r="CS22" s="255">
        <v>4</v>
      </c>
      <c r="CT22" s="255">
        <v>0</v>
      </c>
      <c r="CU22" s="255">
        <v>4</v>
      </c>
      <c r="CV22" s="255">
        <v>103.7</v>
      </c>
      <c r="CW22" s="255">
        <v>100</v>
      </c>
      <c r="CX22" s="255">
        <v>0</v>
      </c>
      <c r="CY22" s="255">
        <v>100</v>
      </c>
      <c r="CZ22" s="255">
        <v>1</v>
      </c>
      <c r="DA22" s="255">
        <v>1</v>
      </c>
      <c r="DB22" s="255">
        <v>0</v>
      </c>
      <c r="DC22" s="255">
        <v>2</v>
      </c>
      <c r="DD22" s="255">
        <v>207.41</v>
      </c>
      <c r="DE22" s="255">
        <v>200</v>
      </c>
      <c r="DF22" s="255">
        <v>0</v>
      </c>
      <c r="DG22" s="255">
        <v>100</v>
      </c>
    </row>
    <row r="23" spans="1:111" ht="14.65" thickBot="1" x14ac:dyDescent="0.5">
      <c r="A23" s="146" t="s">
        <v>244</v>
      </c>
      <c r="B23" s="147" t="s">
        <v>245</v>
      </c>
      <c r="C23" s="147" t="s">
        <v>246</v>
      </c>
      <c r="D23" s="147" t="s">
        <v>247</v>
      </c>
      <c r="E23" s="254" t="s">
        <v>119</v>
      </c>
      <c r="F23" s="254" t="s">
        <v>196</v>
      </c>
      <c r="G23" s="254" t="s">
        <v>129</v>
      </c>
      <c r="H23" s="255">
        <v>7</v>
      </c>
      <c r="I23" s="255">
        <v>7</v>
      </c>
      <c r="J23" s="255">
        <v>0</v>
      </c>
      <c r="K23" s="255">
        <v>12</v>
      </c>
      <c r="L23" s="255">
        <v>177.78</v>
      </c>
      <c r="M23" s="255">
        <v>171.43</v>
      </c>
      <c r="N23" s="255">
        <v>0</v>
      </c>
      <c r="O23" s="255">
        <v>100</v>
      </c>
      <c r="P23" s="255">
        <v>4</v>
      </c>
      <c r="Q23" s="255">
        <v>4</v>
      </c>
      <c r="R23" s="255">
        <v>0</v>
      </c>
      <c r="S23" s="255">
        <v>6</v>
      </c>
      <c r="T23" s="255">
        <v>155.56</v>
      </c>
      <c r="U23" s="255">
        <v>150</v>
      </c>
      <c r="V23" s="255">
        <v>0</v>
      </c>
      <c r="W23" s="255">
        <v>100</v>
      </c>
      <c r="X23" s="255">
        <v>3</v>
      </c>
      <c r="Y23" s="255">
        <v>3</v>
      </c>
      <c r="Z23" s="255">
        <v>0</v>
      </c>
      <c r="AA23" s="255">
        <v>0</v>
      </c>
      <c r="AB23" s="255">
        <v>0</v>
      </c>
      <c r="AC23" s="255">
        <v>0</v>
      </c>
      <c r="AD23" s="255">
        <v>1</v>
      </c>
      <c r="AE23" s="255">
        <v>-100</v>
      </c>
      <c r="AF23" s="255">
        <v>5</v>
      </c>
      <c r="AG23" s="255">
        <v>5</v>
      </c>
      <c r="AH23" s="255">
        <v>0</v>
      </c>
      <c r="AI23" s="255">
        <v>3</v>
      </c>
      <c r="AJ23" s="255">
        <v>137.78</v>
      </c>
      <c r="AK23" s="255">
        <v>140</v>
      </c>
      <c r="AL23" s="255">
        <v>0</v>
      </c>
      <c r="AM23" s="255">
        <v>100</v>
      </c>
      <c r="AN23" s="255">
        <v>4</v>
      </c>
      <c r="AO23" s="255">
        <v>4</v>
      </c>
      <c r="AP23" s="255">
        <v>0</v>
      </c>
      <c r="AQ23" s="255">
        <v>0</v>
      </c>
      <c r="AR23" s="255">
        <v>0</v>
      </c>
      <c r="AS23" s="255">
        <v>0</v>
      </c>
      <c r="AT23" s="255">
        <v>0</v>
      </c>
      <c r="AU23" s="255">
        <v>100</v>
      </c>
      <c r="AV23" s="255">
        <v>58</v>
      </c>
      <c r="AW23" s="255">
        <v>60</v>
      </c>
      <c r="AX23" s="255">
        <v>0</v>
      </c>
      <c r="AY23" s="255">
        <v>187</v>
      </c>
      <c r="AZ23" s="255">
        <v>323.20999999999998</v>
      </c>
      <c r="BA23" s="255">
        <v>311.67</v>
      </c>
      <c r="BB23" s="255">
        <v>0</v>
      </c>
      <c r="BC23" s="255">
        <v>100</v>
      </c>
      <c r="BD23" s="255">
        <v>5</v>
      </c>
      <c r="BE23" s="255">
        <v>5</v>
      </c>
      <c r="BF23" s="255">
        <v>1</v>
      </c>
      <c r="BG23" s="255">
        <v>4</v>
      </c>
      <c r="BH23" s="255">
        <v>82.96</v>
      </c>
      <c r="BI23" s="255">
        <v>80</v>
      </c>
      <c r="BJ23" s="255">
        <v>0</v>
      </c>
      <c r="BK23" s="255">
        <v>100</v>
      </c>
      <c r="BL23" s="255">
        <v>0</v>
      </c>
      <c r="BM23" s="255">
        <v>0</v>
      </c>
      <c r="BN23" s="255">
        <v>0</v>
      </c>
      <c r="BO23" s="255">
        <v>2</v>
      </c>
      <c r="BP23" s="255">
        <v>100</v>
      </c>
      <c r="BQ23" s="255">
        <v>100</v>
      </c>
      <c r="BR23" s="255">
        <v>0</v>
      </c>
      <c r="BS23" s="255">
        <v>100</v>
      </c>
      <c r="BT23" s="255">
        <v>1</v>
      </c>
      <c r="BU23" s="255">
        <v>1</v>
      </c>
      <c r="BV23" s="255">
        <v>0</v>
      </c>
      <c r="BW23" s="255">
        <v>1</v>
      </c>
      <c r="BX23" s="255">
        <v>103.7</v>
      </c>
      <c r="BY23" s="255">
        <v>100</v>
      </c>
      <c r="BZ23" s="255">
        <v>0</v>
      </c>
      <c r="CA23" s="255">
        <v>100</v>
      </c>
      <c r="CB23" s="255">
        <v>8</v>
      </c>
      <c r="CC23" s="255">
        <v>8</v>
      </c>
      <c r="CD23" s="255">
        <v>0</v>
      </c>
      <c r="CE23" s="255">
        <v>22</v>
      </c>
      <c r="CF23" s="255">
        <v>285.19</v>
      </c>
      <c r="CG23" s="255">
        <v>275</v>
      </c>
      <c r="CH23" s="255">
        <v>0</v>
      </c>
      <c r="CI23" s="255">
        <v>100</v>
      </c>
      <c r="CJ23" s="255">
        <v>4</v>
      </c>
      <c r="CK23" s="255">
        <v>4</v>
      </c>
      <c r="CL23" s="255">
        <v>0</v>
      </c>
      <c r="CM23" s="255">
        <v>6</v>
      </c>
      <c r="CN23" s="255">
        <v>155.56</v>
      </c>
      <c r="CO23" s="255">
        <v>150</v>
      </c>
      <c r="CP23" s="255">
        <v>0</v>
      </c>
      <c r="CQ23" s="255">
        <v>100</v>
      </c>
      <c r="CR23" s="255">
        <v>4</v>
      </c>
      <c r="CS23" s="255">
        <v>4</v>
      </c>
      <c r="CT23" s="255">
        <v>0</v>
      </c>
      <c r="CU23" s="255">
        <v>9</v>
      </c>
      <c r="CV23" s="255">
        <v>233.33</v>
      </c>
      <c r="CW23" s="255">
        <v>225</v>
      </c>
      <c r="CX23" s="255">
        <v>0</v>
      </c>
      <c r="CY23" s="255">
        <v>100</v>
      </c>
      <c r="CZ23" s="255">
        <v>1</v>
      </c>
      <c r="DA23" s="255">
        <v>1</v>
      </c>
      <c r="DB23" s="255">
        <v>0</v>
      </c>
      <c r="DC23" s="255">
        <v>26</v>
      </c>
      <c r="DD23" s="255">
        <v>2696.3</v>
      </c>
      <c r="DE23" s="255">
        <v>2600</v>
      </c>
      <c r="DF23" s="255">
        <v>2</v>
      </c>
      <c r="DG23" s="255">
        <v>1200</v>
      </c>
    </row>
    <row r="24" spans="1:111" ht="14.65" thickBot="1" x14ac:dyDescent="0.5">
      <c r="A24" s="146" t="s">
        <v>244</v>
      </c>
      <c r="B24" s="147" t="s">
        <v>245</v>
      </c>
      <c r="C24" s="147" t="s">
        <v>246</v>
      </c>
      <c r="D24" s="147" t="s">
        <v>247</v>
      </c>
      <c r="E24" s="254" t="s">
        <v>121</v>
      </c>
      <c r="F24" s="254" t="s">
        <v>197</v>
      </c>
      <c r="G24" s="254" t="s">
        <v>179</v>
      </c>
      <c r="H24" s="255">
        <v>3</v>
      </c>
      <c r="I24" s="255">
        <v>3</v>
      </c>
      <c r="J24" s="255">
        <v>0</v>
      </c>
      <c r="K24" s="255">
        <v>4</v>
      </c>
      <c r="L24" s="255">
        <v>138.27000000000001</v>
      </c>
      <c r="M24" s="255">
        <v>133.33000000000001</v>
      </c>
      <c r="N24" s="255">
        <v>0</v>
      </c>
      <c r="O24" s="255">
        <v>100</v>
      </c>
      <c r="P24" s="255">
        <v>2</v>
      </c>
      <c r="Q24" s="255">
        <v>2</v>
      </c>
      <c r="R24" s="255">
        <v>0</v>
      </c>
      <c r="S24" s="255">
        <v>0</v>
      </c>
      <c r="T24" s="255">
        <v>0</v>
      </c>
      <c r="U24" s="255">
        <v>0</v>
      </c>
      <c r="V24" s="255">
        <v>0</v>
      </c>
      <c r="W24" s="255">
        <v>100</v>
      </c>
      <c r="X24" s="255">
        <v>1</v>
      </c>
      <c r="Y24" s="255">
        <v>1</v>
      </c>
      <c r="Z24" s="255">
        <v>0</v>
      </c>
      <c r="AA24" s="255">
        <v>0</v>
      </c>
      <c r="AB24" s="255">
        <v>0</v>
      </c>
      <c r="AC24" s="255">
        <v>0</v>
      </c>
      <c r="AD24" s="255">
        <v>0</v>
      </c>
      <c r="AE24" s="255">
        <v>100</v>
      </c>
      <c r="AF24" s="255">
        <v>3</v>
      </c>
      <c r="AG24" s="255">
        <v>3</v>
      </c>
      <c r="AH24" s="255">
        <v>0</v>
      </c>
      <c r="AI24" s="255">
        <v>0</v>
      </c>
      <c r="AJ24" s="255">
        <v>200</v>
      </c>
      <c r="AK24" s="255">
        <v>200</v>
      </c>
      <c r="AL24" s="255">
        <v>0</v>
      </c>
      <c r="AM24" s="255">
        <v>100</v>
      </c>
      <c r="AN24" s="255">
        <v>3</v>
      </c>
      <c r="AO24" s="255">
        <v>3</v>
      </c>
      <c r="AP24" s="255">
        <v>0</v>
      </c>
      <c r="AQ24" s="255">
        <v>0</v>
      </c>
      <c r="AR24" s="255">
        <v>0</v>
      </c>
      <c r="AS24" s="255">
        <v>0</v>
      </c>
      <c r="AT24" s="255">
        <v>0</v>
      </c>
      <c r="AU24" s="255">
        <v>100</v>
      </c>
      <c r="AV24" s="255">
        <v>14</v>
      </c>
      <c r="AW24" s="255">
        <v>14</v>
      </c>
      <c r="AX24" s="255">
        <v>0</v>
      </c>
      <c r="AY24" s="255">
        <v>21</v>
      </c>
      <c r="AZ24" s="255">
        <v>155.56</v>
      </c>
      <c r="BA24" s="255">
        <v>150</v>
      </c>
      <c r="BB24" s="255">
        <v>0</v>
      </c>
      <c r="BC24" s="255">
        <v>100</v>
      </c>
      <c r="BD24" s="255">
        <v>2</v>
      </c>
      <c r="BE24" s="255">
        <v>2</v>
      </c>
      <c r="BF24" s="255">
        <v>1</v>
      </c>
      <c r="BG24" s="255">
        <v>3</v>
      </c>
      <c r="BH24" s="255">
        <v>155.56</v>
      </c>
      <c r="BI24" s="255">
        <v>150</v>
      </c>
      <c r="BJ24" s="255">
        <v>0</v>
      </c>
      <c r="BK24" s="255">
        <v>100</v>
      </c>
      <c r="BL24" s="255">
        <v>0</v>
      </c>
      <c r="BM24" s="255">
        <v>0</v>
      </c>
      <c r="BN24" s="255">
        <v>0</v>
      </c>
      <c r="BO24" s="255">
        <v>0</v>
      </c>
      <c r="BP24" s="255">
        <v>100</v>
      </c>
      <c r="BQ24" s="255">
        <v>100</v>
      </c>
      <c r="BR24" s="255">
        <v>0</v>
      </c>
      <c r="BS24" s="255">
        <v>100</v>
      </c>
      <c r="BT24" s="255">
        <v>1</v>
      </c>
      <c r="BU24" s="255">
        <v>1</v>
      </c>
      <c r="BV24" s="255">
        <v>0</v>
      </c>
      <c r="BW24" s="255">
        <v>1</v>
      </c>
      <c r="BX24" s="255">
        <v>103.7</v>
      </c>
      <c r="BY24" s="255">
        <v>100</v>
      </c>
      <c r="BZ24" s="255">
        <v>0</v>
      </c>
      <c r="CA24" s="255">
        <v>100</v>
      </c>
      <c r="CB24" s="255">
        <v>5</v>
      </c>
      <c r="CC24" s="255">
        <v>5</v>
      </c>
      <c r="CD24" s="255">
        <v>0</v>
      </c>
      <c r="CE24" s="255">
        <v>3</v>
      </c>
      <c r="CF24" s="255">
        <v>62.22</v>
      </c>
      <c r="CG24" s="255">
        <v>60</v>
      </c>
      <c r="CH24" s="255">
        <v>0</v>
      </c>
      <c r="CI24" s="255">
        <v>100</v>
      </c>
      <c r="CJ24" s="255">
        <v>3</v>
      </c>
      <c r="CK24" s="255">
        <v>3</v>
      </c>
      <c r="CL24" s="255">
        <v>0</v>
      </c>
      <c r="CM24" s="255">
        <v>1</v>
      </c>
      <c r="CN24" s="255">
        <v>34.57</v>
      </c>
      <c r="CO24" s="255">
        <v>33.33</v>
      </c>
      <c r="CP24" s="255">
        <v>0</v>
      </c>
      <c r="CQ24" s="255">
        <v>100</v>
      </c>
      <c r="CR24" s="255">
        <v>3</v>
      </c>
      <c r="CS24" s="255">
        <v>3</v>
      </c>
      <c r="CT24" s="255">
        <v>1</v>
      </c>
      <c r="CU24" s="255">
        <v>3</v>
      </c>
      <c r="CV24" s="255">
        <v>103.7</v>
      </c>
      <c r="CW24" s="255">
        <v>100</v>
      </c>
      <c r="CX24" s="255">
        <v>0</v>
      </c>
      <c r="CY24" s="255">
        <v>100</v>
      </c>
      <c r="CZ24" s="255">
        <v>1</v>
      </c>
      <c r="DA24" s="255">
        <v>1</v>
      </c>
      <c r="DB24" s="255">
        <v>0</v>
      </c>
      <c r="DC24" s="255">
        <v>1</v>
      </c>
      <c r="DD24" s="255">
        <v>103.7</v>
      </c>
      <c r="DE24" s="255">
        <v>100</v>
      </c>
      <c r="DF24" s="255">
        <v>0</v>
      </c>
      <c r="DG24" s="255">
        <v>100</v>
      </c>
    </row>
    <row r="25" spans="1:111" ht="14.65" thickBot="1" x14ac:dyDescent="0.5">
      <c r="A25" s="146" t="s">
        <v>244</v>
      </c>
      <c r="B25" s="147" t="s">
        <v>245</v>
      </c>
      <c r="C25" s="147" t="s">
        <v>246</v>
      </c>
      <c r="D25" s="147" t="s">
        <v>248</v>
      </c>
      <c r="E25" s="254" t="s">
        <v>245</v>
      </c>
      <c r="F25" s="254" t="s">
        <v>246</v>
      </c>
      <c r="G25" s="254" t="s">
        <v>129</v>
      </c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  <c r="AB25" s="256"/>
      <c r="AC25" s="256"/>
      <c r="AD25" s="256"/>
      <c r="AE25" s="256"/>
      <c r="AF25" s="256"/>
      <c r="AG25" s="256"/>
      <c r="AH25" s="256"/>
      <c r="AI25" s="256"/>
      <c r="AJ25" s="256"/>
      <c r="AK25" s="256"/>
      <c r="AL25" s="256"/>
      <c r="AM25" s="256"/>
      <c r="AN25" s="256"/>
      <c r="AO25" s="256"/>
      <c r="AP25" s="256"/>
      <c r="AQ25" s="256"/>
      <c r="AR25" s="256"/>
      <c r="AS25" s="256"/>
      <c r="AT25" s="256"/>
      <c r="AU25" s="256"/>
      <c r="AV25" s="255">
        <v>1311</v>
      </c>
      <c r="AW25" s="255">
        <v>1360</v>
      </c>
      <c r="AX25" s="255">
        <v>0</v>
      </c>
      <c r="AY25" s="255">
        <v>0</v>
      </c>
      <c r="AZ25" s="255">
        <v>0</v>
      </c>
      <c r="BA25" s="255">
        <v>0</v>
      </c>
      <c r="BB25" s="255">
        <v>0</v>
      </c>
      <c r="BC25" s="255">
        <v>100</v>
      </c>
      <c r="BD25" s="256"/>
      <c r="BE25" s="256"/>
      <c r="BF25" s="256"/>
      <c r="BG25" s="256"/>
      <c r="BH25" s="256"/>
      <c r="BI25" s="256"/>
      <c r="BJ25" s="256"/>
      <c r="BK25" s="256"/>
      <c r="BL25" s="256"/>
      <c r="BM25" s="256"/>
      <c r="BN25" s="256"/>
      <c r="BO25" s="256"/>
      <c r="BP25" s="256"/>
      <c r="BQ25" s="256"/>
      <c r="BR25" s="256"/>
      <c r="BS25" s="256"/>
      <c r="BT25" s="255">
        <v>6</v>
      </c>
      <c r="BU25" s="255">
        <v>6</v>
      </c>
      <c r="BV25" s="255">
        <v>0</v>
      </c>
      <c r="BW25" s="255">
        <v>0</v>
      </c>
      <c r="BX25" s="255">
        <v>0</v>
      </c>
      <c r="BY25" s="255">
        <v>0</v>
      </c>
      <c r="BZ25" s="255">
        <v>0</v>
      </c>
      <c r="CA25" s="255">
        <v>100</v>
      </c>
      <c r="CB25" s="255">
        <v>116</v>
      </c>
      <c r="CC25" s="255">
        <v>120</v>
      </c>
      <c r="CD25" s="255">
        <v>0</v>
      </c>
      <c r="CE25" s="255">
        <v>0</v>
      </c>
      <c r="CF25" s="255">
        <v>0</v>
      </c>
      <c r="CG25" s="255">
        <v>0</v>
      </c>
      <c r="CH25" s="255">
        <v>0</v>
      </c>
      <c r="CI25" s="255">
        <v>100</v>
      </c>
      <c r="CJ25" s="256"/>
      <c r="CK25" s="256"/>
      <c r="CL25" s="256"/>
      <c r="CM25" s="256"/>
      <c r="CN25" s="256"/>
      <c r="CO25" s="256"/>
      <c r="CP25" s="256"/>
      <c r="CQ25" s="256"/>
      <c r="CR25" s="256"/>
      <c r="CS25" s="256"/>
      <c r="CT25" s="256"/>
      <c r="CU25" s="256"/>
      <c r="CV25" s="256"/>
      <c r="CW25" s="256"/>
      <c r="CX25" s="256"/>
      <c r="CY25" s="256"/>
      <c r="CZ25" s="255">
        <v>248</v>
      </c>
      <c r="DA25" s="255">
        <v>257</v>
      </c>
      <c r="DB25" s="255">
        <v>0</v>
      </c>
      <c r="DC25" s="255">
        <v>0</v>
      </c>
      <c r="DD25" s="255">
        <v>0</v>
      </c>
      <c r="DE25" s="255">
        <v>0</v>
      </c>
      <c r="DF25" s="255">
        <v>0</v>
      </c>
      <c r="DG25" s="255">
        <v>100</v>
      </c>
    </row>
    <row r="26" spans="1:111" ht="14.65" thickBot="1" x14ac:dyDescent="0.5">
      <c r="A26" s="146" t="s">
        <v>244</v>
      </c>
      <c r="B26" s="147" t="s">
        <v>245</v>
      </c>
      <c r="C26" s="147" t="s">
        <v>246</v>
      </c>
      <c r="D26" s="147" t="s">
        <v>248</v>
      </c>
      <c r="E26" s="254" t="s">
        <v>249</v>
      </c>
      <c r="F26" s="254" t="s">
        <v>250</v>
      </c>
      <c r="G26" s="254" t="s">
        <v>129</v>
      </c>
      <c r="H26" s="256"/>
      <c r="I26" s="256"/>
      <c r="J26" s="256"/>
      <c r="K26" s="256"/>
      <c r="L26" s="256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5">
        <v>0</v>
      </c>
      <c r="Y26" s="255">
        <v>0</v>
      </c>
      <c r="Z26" s="255">
        <v>0</v>
      </c>
      <c r="AA26" s="255">
        <v>1</v>
      </c>
      <c r="AB26" s="255">
        <v>100</v>
      </c>
      <c r="AC26" s="255">
        <v>100</v>
      </c>
      <c r="AD26" s="255">
        <v>2</v>
      </c>
      <c r="AE26" s="255">
        <v>-50</v>
      </c>
      <c r="AF26" s="256"/>
      <c r="AG26" s="256"/>
      <c r="AH26" s="256"/>
      <c r="AI26" s="256"/>
      <c r="AJ26" s="256"/>
      <c r="AK26" s="256"/>
      <c r="AL26" s="256"/>
      <c r="AM26" s="256"/>
      <c r="AN26" s="256"/>
      <c r="AO26" s="256"/>
      <c r="AP26" s="256"/>
      <c r="AQ26" s="256"/>
      <c r="AR26" s="256"/>
      <c r="AS26" s="256"/>
      <c r="AT26" s="256"/>
      <c r="AU26" s="256"/>
      <c r="AV26" s="256"/>
      <c r="AW26" s="256"/>
      <c r="AX26" s="256"/>
      <c r="AY26" s="256"/>
      <c r="AZ26" s="256"/>
      <c r="BA26" s="256"/>
      <c r="BB26" s="256"/>
      <c r="BC26" s="256"/>
      <c r="BD26" s="256"/>
      <c r="BE26" s="256"/>
      <c r="BF26" s="256"/>
      <c r="BG26" s="256"/>
      <c r="BH26" s="256"/>
      <c r="BI26" s="256"/>
      <c r="BJ26" s="256"/>
      <c r="BK26" s="256"/>
      <c r="BL26" s="256"/>
      <c r="BM26" s="256"/>
      <c r="BN26" s="256"/>
      <c r="BO26" s="256"/>
      <c r="BP26" s="256"/>
      <c r="BQ26" s="256"/>
      <c r="BR26" s="256"/>
      <c r="BS26" s="256"/>
      <c r="BT26" s="256"/>
      <c r="BU26" s="256"/>
      <c r="BV26" s="256"/>
      <c r="BW26" s="256"/>
      <c r="BX26" s="256"/>
      <c r="BY26" s="256"/>
      <c r="BZ26" s="256"/>
      <c r="CA26" s="256"/>
      <c r="CB26" s="256"/>
      <c r="CC26" s="256"/>
      <c r="CD26" s="256"/>
      <c r="CE26" s="256"/>
      <c r="CF26" s="256"/>
      <c r="CG26" s="256"/>
      <c r="CH26" s="256"/>
      <c r="CI26" s="256"/>
      <c r="CJ26" s="256"/>
      <c r="CK26" s="256"/>
      <c r="CL26" s="256"/>
      <c r="CM26" s="256"/>
      <c r="CN26" s="256"/>
      <c r="CO26" s="256"/>
      <c r="CP26" s="256"/>
      <c r="CQ26" s="256"/>
      <c r="CR26" s="256"/>
      <c r="CS26" s="256"/>
      <c r="CT26" s="256"/>
      <c r="CU26" s="256"/>
      <c r="CV26" s="256"/>
      <c r="CW26" s="256"/>
      <c r="CX26" s="256"/>
      <c r="CY26" s="256"/>
      <c r="CZ26" s="256"/>
      <c r="DA26" s="256"/>
      <c r="DB26" s="256"/>
      <c r="DC26" s="256"/>
      <c r="DD26" s="256"/>
      <c r="DE26" s="256"/>
      <c r="DF26" s="256"/>
      <c r="DG26" s="256"/>
    </row>
    <row r="27" spans="1:111" ht="14.65" thickBot="1" x14ac:dyDescent="0.5">
      <c r="A27" s="146" t="s">
        <v>244</v>
      </c>
      <c r="B27" s="147" t="s">
        <v>245</v>
      </c>
      <c r="C27" s="147" t="s">
        <v>246</v>
      </c>
      <c r="D27" s="147" t="s">
        <v>248</v>
      </c>
      <c r="E27" s="254" t="s">
        <v>123</v>
      </c>
      <c r="F27" s="254" t="s">
        <v>198</v>
      </c>
      <c r="G27" s="254" t="s">
        <v>179</v>
      </c>
      <c r="H27" s="255">
        <v>4</v>
      </c>
      <c r="I27" s="255">
        <v>4</v>
      </c>
      <c r="J27" s="255">
        <v>0</v>
      </c>
      <c r="K27" s="255">
        <v>3</v>
      </c>
      <c r="L27" s="255">
        <v>77.78</v>
      </c>
      <c r="M27" s="255">
        <v>75</v>
      </c>
      <c r="N27" s="255">
        <v>2</v>
      </c>
      <c r="O27" s="255">
        <v>50</v>
      </c>
      <c r="P27" s="255">
        <v>2</v>
      </c>
      <c r="Q27" s="255">
        <v>2</v>
      </c>
      <c r="R27" s="255">
        <v>0</v>
      </c>
      <c r="S27" s="255">
        <v>4</v>
      </c>
      <c r="T27" s="255">
        <v>207.41</v>
      </c>
      <c r="U27" s="255">
        <v>200</v>
      </c>
      <c r="V27" s="255">
        <v>0</v>
      </c>
      <c r="W27" s="255">
        <v>100</v>
      </c>
      <c r="X27" s="255">
        <v>1</v>
      </c>
      <c r="Y27" s="255">
        <v>1</v>
      </c>
      <c r="Z27" s="255">
        <v>0</v>
      </c>
      <c r="AA27" s="255">
        <v>0</v>
      </c>
      <c r="AB27" s="255">
        <v>0</v>
      </c>
      <c r="AC27" s="255">
        <v>0</v>
      </c>
      <c r="AD27" s="255">
        <v>0</v>
      </c>
      <c r="AE27" s="255">
        <v>100</v>
      </c>
      <c r="AF27" s="255">
        <v>2</v>
      </c>
      <c r="AG27" s="255">
        <v>2</v>
      </c>
      <c r="AH27" s="255">
        <v>0</v>
      </c>
      <c r="AI27" s="255">
        <v>3</v>
      </c>
      <c r="AJ27" s="255">
        <v>44.44</v>
      </c>
      <c r="AK27" s="255">
        <v>50</v>
      </c>
      <c r="AL27" s="255">
        <v>0</v>
      </c>
      <c r="AM27" s="255">
        <v>100</v>
      </c>
      <c r="AN27" s="255">
        <v>3</v>
      </c>
      <c r="AO27" s="255">
        <v>3</v>
      </c>
      <c r="AP27" s="255">
        <v>0</v>
      </c>
      <c r="AQ27" s="255">
        <v>0</v>
      </c>
      <c r="AR27" s="255">
        <v>0</v>
      </c>
      <c r="AS27" s="255">
        <v>0</v>
      </c>
      <c r="AT27" s="255">
        <v>0</v>
      </c>
      <c r="AU27" s="255">
        <v>100</v>
      </c>
      <c r="AV27" s="255">
        <v>20</v>
      </c>
      <c r="AW27" s="255">
        <v>21</v>
      </c>
      <c r="AX27" s="255">
        <v>0</v>
      </c>
      <c r="AY27" s="255">
        <v>30</v>
      </c>
      <c r="AZ27" s="255">
        <v>148.15</v>
      </c>
      <c r="BA27" s="255">
        <v>142.86000000000001</v>
      </c>
      <c r="BB27" s="255">
        <v>0</v>
      </c>
      <c r="BC27" s="255">
        <v>100</v>
      </c>
      <c r="BD27" s="255">
        <v>3</v>
      </c>
      <c r="BE27" s="255">
        <v>3</v>
      </c>
      <c r="BF27" s="255">
        <v>1</v>
      </c>
      <c r="BG27" s="255">
        <v>1</v>
      </c>
      <c r="BH27" s="255">
        <v>34.57</v>
      </c>
      <c r="BI27" s="255">
        <v>33.33</v>
      </c>
      <c r="BJ27" s="255">
        <v>1</v>
      </c>
      <c r="BK27" s="255">
        <v>0</v>
      </c>
      <c r="BL27" s="255">
        <v>0</v>
      </c>
      <c r="BM27" s="255">
        <v>0</v>
      </c>
      <c r="BN27" s="255">
        <v>0</v>
      </c>
      <c r="BO27" s="255">
        <v>2</v>
      </c>
      <c r="BP27" s="255">
        <v>100</v>
      </c>
      <c r="BQ27" s="255">
        <v>100</v>
      </c>
      <c r="BR27" s="255">
        <v>0</v>
      </c>
      <c r="BS27" s="255">
        <v>100</v>
      </c>
      <c r="BT27" s="255">
        <v>1</v>
      </c>
      <c r="BU27" s="255">
        <v>1</v>
      </c>
      <c r="BV27" s="255">
        <v>0</v>
      </c>
      <c r="BW27" s="255">
        <v>1</v>
      </c>
      <c r="BX27" s="255">
        <v>103.7</v>
      </c>
      <c r="BY27" s="255">
        <v>100</v>
      </c>
      <c r="BZ27" s="255">
        <v>0</v>
      </c>
      <c r="CA27" s="255">
        <v>100</v>
      </c>
      <c r="CB27" s="255">
        <v>6</v>
      </c>
      <c r="CC27" s="255">
        <v>6</v>
      </c>
      <c r="CD27" s="255">
        <v>0</v>
      </c>
      <c r="CE27" s="255">
        <v>6</v>
      </c>
      <c r="CF27" s="255">
        <v>103.7</v>
      </c>
      <c r="CG27" s="255">
        <v>100</v>
      </c>
      <c r="CH27" s="255">
        <v>0</v>
      </c>
      <c r="CI27" s="255">
        <v>100</v>
      </c>
      <c r="CJ27" s="255">
        <v>3</v>
      </c>
      <c r="CK27" s="255">
        <v>3</v>
      </c>
      <c r="CL27" s="255">
        <v>0</v>
      </c>
      <c r="CM27" s="255">
        <v>2</v>
      </c>
      <c r="CN27" s="255">
        <v>69.14</v>
      </c>
      <c r="CO27" s="255">
        <v>66.67</v>
      </c>
      <c r="CP27" s="255">
        <v>0</v>
      </c>
      <c r="CQ27" s="255">
        <v>100</v>
      </c>
      <c r="CR27" s="255">
        <v>3</v>
      </c>
      <c r="CS27" s="255">
        <v>3</v>
      </c>
      <c r="CT27" s="255">
        <v>0</v>
      </c>
      <c r="CU27" s="255">
        <v>3</v>
      </c>
      <c r="CV27" s="255">
        <v>103.7</v>
      </c>
      <c r="CW27" s="255">
        <v>100</v>
      </c>
      <c r="CX27" s="255">
        <v>0</v>
      </c>
      <c r="CY27" s="255">
        <v>100</v>
      </c>
      <c r="CZ27" s="255">
        <v>1</v>
      </c>
      <c r="DA27" s="255">
        <v>1</v>
      </c>
      <c r="DB27" s="255">
        <v>0</v>
      </c>
      <c r="DC27" s="255">
        <v>3</v>
      </c>
      <c r="DD27" s="255">
        <v>311.11</v>
      </c>
      <c r="DE27" s="255">
        <v>300</v>
      </c>
      <c r="DF27" s="255">
        <v>0</v>
      </c>
      <c r="DG27" s="255">
        <v>100</v>
      </c>
    </row>
    <row r="28" spans="1:111" ht="14.65" thickBot="1" x14ac:dyDescent="0.5">
      <c r="A28" s="146" t="s">
        <v>244</v>
      </c>
      <c r="B28" s="147" t="s">
        <v>245</v>
      </c>
      <c r="C28" s="147" t="s">
        <v>246</v>
      </c>
      <c r="D28" s="147" t="s">
        <v>251</v>
      </c>
      <c r="E28" s="254" t="s">
        <v>262</v>
      </c>
      <c r="F28" s="254" t="s">
        <v>263</v>
      </c>
      <c r="G28" s="254" t="s">
        <v>264</v>
      </c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  <c r="AD28" s="256"/>
      <c r="AE28" s="256"/>
      <c r="AF28" s="256"/>
      <c r="AG28" s="256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5">
        <v>0</v>
      </c>
      <c r="AW28" s="255">
        <v>0</v>
      </c>
      <c r="AX28" s="255">
        <v>0</v>
      </c>
      <c r="AY28" s="255">
        <v>1</v>
      </c>
      <c r="AZ28" s="255">
        <v>100</v>
      </c>
      <c r="BA28" s="255">
        <v>100</v>
      </c>
      <c r="BB28" s="255">
        <v>0</v>
      </c>
      <c r="BC28" s="255">
        <v>100</v>
      </c>
      <c r="BD28" s="256"/>
      <c r="BE28" s="256"/>
      <c r="BF28" s="256"/>
      <c r="BG28" s="256"/>
      <c r="BH28" s="256"/>
      <c r="BI28" s="256"/>
      <c r="BJ28" s="256"/>
      <c r="BK28" s="256"/>
      <c r="BL28" s="256"/>
      <c r="BM28" s="256"/>
      <c r="BN28" s="256"/>
      <c r="BO28" s="256"/>
      <c r="BP28" s="256"/>
      <c r="BQ28" s="256"/>
      <c r="BR28" s="256"/>
      <c r="BS28" s="256"/>
      <c r="BT28" s="256"/>
      <c r="BU28" s="256"/>
      <c r="BV28" s="256"/>
      <c r="BW28" s="256"/>
      <c r="BX28" s="256"/>
      <c r="BY28" s="256"/>
      <c r="BZ28" s="256"/>
      <c r="CA28" s="256"/>
      <c r="CB28" s="256"/>
      <c r="CC28" s="256"/>
      <c r="CD28" s="256"/>
      <c r="CE28" s="256"/>
      <c r="CF28" s="256"/>
      <c r="CG28" s="256"/>
      <c r="CH28" s="256"/>
      <c r="CI28" s="256"/>
      <c r="CJ28" s="256"/>
      <c r="CK28" s="256"/>
      <c r="CL28" s="256"/>
      <c r="CM28" s="256"/>
      <c r="CN28" s="256"/>
      <c r="CO28" s="256"/>
      <c r="CP28" s="256"/>
      <c r="CQ28" s="256"/>
      <c r="CR28" s="256"/>
      <c r="CS28" s="256"/>
      <c r="CT28" s="256"/>
      <c r="CU28" s="256"/>
      <c r="CV28" s="256"/>
      <c r="CW28" s="256"/>
      <c r="CX28" s="256"/>
      <c r="CY28" s="256"/>
      <c r="CZ28" s="256"/>
      <c r="DA28" s="256"/>
      <c r="DB28" s="256"/>
      <c r="DC28" s="256"/>
      <c r="DD28" s="256"/>
      <c r="DE28" s="256"/>
      <c r="DF28" s="256"/>
      <c r="DG28" s="256"/>
    </row>
    <row r="29" spans="1:111" ht="14.65" thickBot="1" x14ac:dyDescent="0.5">
      <c r="A29" s="148" t="s">
        <v>244</v>
      </c>
      <c r="B29" s="149" t="s">
        <v>245</v>
      </c>
      <c r="C29" s="149" t="s">
        <v>246</v>
      </c>
      <c r="D29" s="149" t="s">
        <v>252</v>
      </c>
      <c r="E29" s="254" t="s">
        <v>67</v>
      </c>
      <c r="F29" s="254" t="s">
        <v>199</v>
      </c>
      <c r="G29" s="254" t="s">
        <v>128</v>
      </c>
      <c r="H29" s="255">
        <v>8</v>
      </c>
      <c r="I29" s="255">
        <v>8</v>
      </c>
      <c r="J29" s="255">
        <v>0</v>
      </c>
      <c r="K29" s="255">
        <v>8</v>
      </c>
      <c r="L29" s="255">
        <v>103.7</v>
      </c>
      <c r="M29" s="255">
        <v>100</v>
      </c>
      <c r="N29" s="255">
        <v>0</v>
      </c>
      <c r="O29" s="255">
        <v>100</v>
      </c>
      <c r="P29" s="255">
        <v>4</v>
      </c>
      <c r="Q29" s="255">
        <v>4</v>
      </c>
      <c r="R29" s="255">
        <v>0</v>
      </c>
      <c r="S29" s="255">
        <v>6</v>
      </c>
      <c r="T29" s="255">
        <v>155.56</v>
      </c>
      <c r="U29" s="255">
        <v>150</v>
      </c>
      <c r="V29" s="255">
        <v>0</v>
      </c>
      <c r="W29" s="255">
        <v>100</v>
      </c>
      <c r="X29" s="255">
        <v>2</v>
      </c>
      <c r="Y29" s="255">
        <v>2</v>
      </c>
      <c r="Z29" s="255">
        <v>0</v>
      </c>
      <c r="AA29" s="255">
        <v>0</v>
      </c>
      <c r="AB29" s="255">
        <v>0</v>
      </c>
      <c r="AC29" s="255">
        <v>0</v>
      </c>
      <c r="AD29" s="255">
        <v>1</v>
      </c>
      <c r="AE29" s="255">
        <v>-100</v>
      </c>
      <c r="AF29" s="255">
        <v>5</v>
      </c>
      <c r="AG29" s="255">
        <v>5</v>
      </c>
      <c r="AH29" s="255">
        <v>0</v>
      </c>
      <c r="AI29" s="255">
        <v>3</v>
      </c>
      <c r="AJ29" s="255">
        <v>137.78</v>
      </c>
      <c r="AK29" s="255">
        <v>140</v>
      </c>
      <c r="AL29" s="255">
        <v>0</v>
      </c>
      <c r="AM29" s="255">
        <v>100</v>
      </c>
      <c r="AN29" s="255">
        <v>4</v>
      </c>
      <c r="AO29" s="255">
        <v>4</v>
      </c>
      <c r="AP29" s="255">
        <v>0</v>
      </c>
      <c r="AQ29" s="255">
        <v>1</v>
      </c>
      <c r="AR29" s="255">
        <v>25.93</v>
      </c>
      <c r="AS29" s="255">
        <v>25</v>
      </c>
      <c r="AT29" s="255">
        <v>0</v>
      </c>
      <c r="AU29" s="255">
        <v>100</v>
      </c>
      <c r="AV29" s="255">
        <v>29</v>
      </c>
      <c r="AW29" s="255">
        <v>30</v>
      </c>
      <c r="AX29" s="255">
        <v>0</v>
      </c>
      <c r="AY29" s="255">
        <v>33</v>
      </c>
      <c r="AZ29" s="255">
        <v>114.07</v>
      </c>
      <c r="BA29" s="255">
        <v>110</v>
      </c>
      <c r="BB29" s="255">
        <v>0</v>
      </c>
      <c r="BC29" s="255">
        <v>100</v>
      </c>
      <c r="BD29" s="255">
        <v>5</v>
      </c>
      <c r="BE29" s="255">
        <v>5</v>
      </c>
      <c r="BF29" s="255">
        <v>1</v>
      </c>
      <c r="BG29" s="255">
        <v>5</v>
      </c>
      <c r="BH29" s="255">
        <v>103.7</v>
      </c>
      <c r="BI29" s="255">
        <v>100</v>
      </c>
      <c r="BJ29" s="255">
        <v>0</v>
      </c>
      <c r="BK29" s="255">
        <v>100</v>
      </c>
      <c r="BL29" s="255">
        <v>0</v>
      </c>
      <c r="BM29" s="255">
        <v>0</v>
      </c>
      <c r="BN29" s="255">
        <v>0</v>
      </c>
      <c r="BO29" s="255">
        <v>0</v>
      </c>
      <c r="BP29" s="255">
        <v>100</v>
      </c>
      <c r="BQ29" s="255">
        <v>100</v>
      </c>
      <c r="BR29" s="255">
        <v>0</v>
      </c>
      <c r="BS29" s="255">
        <v>100</v>
      </c>
      <c r="BT29" s="255">
        <v>1</v>
      </c>
      <c r="BU29" s="255">
        <v>1</v>
      </c>
      <c r="BV29" s="255">
        <v>0</v>
      </c>
      <c r="BW29" s="255">
        <v>1</v>
      </c>
      <c r="BX29" s="255">
        <v>103.7</v>
      </c>
      <c r="BY29" s="255">
        <v>100</v>
      </c>
      <c r="BZ29" s="255">
        <v>0</v>
      </c>
      <c r="CA29" s="255">
        <v>100</v>
      </c>
      <c r="CB29" s="255">
        <v>9</v>
      </c>
      <c r="CC29" s="255">
        <v>9</v>
      </c>
      <c r="CD29" s="255">
        <v>0</v>
      </c>
      <c r="CE29" s="255">
        <v>12</v>
      </c>
      <c r="CF29" s="255">
        <v>138.27000000000001</v>
      </c>
      <c r="CG29" s="255">
        <v>133.33000000000001</v>
      </c>
      <c r="CH29" s="255">
        <v>0</v>
      </c>
      <c r="CI29" s="255">
        <v>100</v>
      </c>
      <c r="CJ29" s="255">
        <v>5</v>
      </c>
      <c r="CK29" s="255">
        <v>5</v>
      </c>
      <c r="CL29" s="255">
        <v>0</v>
      </c>
      <c r="CM29" s="255">
        <v>6</v>
      </c>
      <c r="CN29" s="255">
        <v>124.44</v>
      </c>
      <c r="CO29" s="255">
        <v>120</v>
      </c>
      <c r="CP29" s="255">
        <v>0</v>
      </c>
      <c r="CQ29" s="255">
        <v>100</v>
      </c>
      <c r="CR29" s="255">
        <v>4</v>
      </c>
      <c r="CS29" s="255">
        <v>4</v>
      </c>
      <c r="CT29" s="255">
        <v>0</v>
      </c>
      <c r="CU29" s="255">
        <v>4</v>
      </c>
      <c r="CV29" s="255">
        <v>103.7</v>
      </c>
      <c r="CW29" s="255">
        <v>100</v>
      </c>
      <c r="CX29" s="255">
        <v>0</v>
      </c>
      <c r="CY29" s="255">
        <v>100</v>
      </c>
      <c r="CZ29" s="255">
        <v>1</v>
      </c>
      <c r="DA29" s="255">
        <v>1</v>
      </c>
      <c r="DB29" s="255">
        <v>0</v>
      </c>
      <c r="DC29" s="255">
        <v>1</v>
      </c>
      <c r="DD29" s="255">
        <v>103.7</v>
      </c>
      <c r="DE29" s="255">
        <v>100</v>
      </c>
      <c r="DF29" s="255">
        <v>0</v>
      </c>
      <c r="DG29" s="255">
        <v>100</v>
      </c>
    </row>
    <row r="30" spans="1:111" ht="14.65" thickBot="1" x14ac:dyDescent="0.5">
      <c r="E30" s="257" t="s">
        <v>253</v>
      </c>
      <c r="F30" s="257" t="s">
        <v>254</v>
      </c>
      <c r="G30" s="257" t="s">
        <v>179</v>
      </c>
      <c r="H30" s="255">
        <v>3</v>
      </c>
      <c r="I30" s="255">
        <v>3</v>
      </c>
      <c r="J30" s="255">
        <v>0</v>
      </c>
      <c r="K30" s="255">
        <v>3</v>
      </c>
      <c r="L30" s="255">
        <v>103.7</v>
      </c>
      <c r="M30" s="255">
        <v>100</v>
      </c>
      <c r="N30" s="255">
        <v>0</v>
      </c>
      <c r="O30" s="255">
        <v>100</v>
      </c>
      <c r="P30" s="255">
        <v>2</v>
      </c>
      <c r="Q30" s="255">
        <v>2</v>
      </c>
      <c r="R30" s="255">
        <v>0</v>
      </c>
      <c r="S30" s="255">
        <v>2</v>
      </c>
      <c r="T30" s="255">
        <v>103.7</v>
      </c>
      <c r="U30" s="255">
        <v>100</v>
      </c>
      <c r="V30" s="255">
        <v>0</v>
      </c>
      <c r="W30" s="255">
        <v>100</v>
      </c>
      <c r="X30" s="255">
        <v>1</v>
      </c>
      <c r="Y30" s="255">
        <v>1</v>
      </c>
      <c r="Z30" s="255">
        <v>0</v>
      </c>
      <c r="AA30" s="255">
        <v>0</v>
      </c>
      <c r="AB30" s="255">
        <v>0</v>
      </c>
      <c r="AC30" s="255">
        <v>0</v>
      </c>
      <c r="AD30" s="255">
        <v>0</v>
      </c>
      <c r="AE30" s="255">
        <v>100</v>
      </c>
      <c r="AF30" s="255">
        <v>2</v>
      </c>
      <c r="AG30" s="255">
        <v>2</v>
      </c>
      <c r="AH30" s="255">
        <v>0</v>
      </c>
      <c r="AI30" s="255">
        <v>1</v>
      </c>
      <c r="AJ30" s="255">
        <v>148.15</v>
      </c>
      <c r="AK30" s="255">
        <v>150</v>
      </c>
      <c r="AL30" s="255">
        <v>0</v>
      </c>
      <c r="AM30" s="255">
        <v>100</v>
      </c>
      <c r="AN30" s="255">
        <v>3</v>
      </c>
      <c r="AO30" s="255">
        <v>3</v>
      </c>
      <c r="AP30" s="255">
        <v>0</v>
      </c>
      <c r="AQ30" s="255">
        <v>0</v>
      </c>
      <c r="AR30" s="255">
        <v>0</v>
      </c>
      <c r="AS30" s="255">
        <v>0</v>
      </c>
      <c r="AT30" s="255">
        <v>0</v>
      </c>
      <c r="AU30" s="255">
        <v>100</v>
      </c>
      <c r="AV30" s="255">
        <v>14</v>
      </c>
      <c r="AW30" s="255">
        <v>14</v>
      </c>
      <c r="AX30" s="255">
        <v>0</v>
      </c>
      <c r="AY30" s="255">
        <v>14</v>
      </c>
      <c r="AZ30" s="255">
        <v>103.7</v>
      </c>
      <c r="BA30" s="255">
        <v>100</v>
      </c>
      <c r="BB30" s="255">
        <v>0</v>
      </c>
      <c r="BC30" s="255">
        <v>100</v>
      </c>
      <c r="BD30" s="255">
        <v>2</v>
      </c>
      <c r="BE30" s="255">
        <v>2</v>
      </c>
      <c r="BF30" s="255">
        <v>0</v>
      </c>
      <c r="BG30" s="255">
        <v>2</v>
      </c>
      <c r="BH30" s="255">
        <v>103.7</v>
      </c>
      <c r="BI30" s="255">
        <v>100</v>
      </c>
      <c r="BJ30" s="255">
        <v>0</v>
      </c>
      <c r="BK30" s="255">
        <v>100</v>
      </c>
      <c r="BL30" s="255">
        <v>0</v>
      </c>
      <c r="BM30" s="255">
        <v>0</v>
      </c>
      <c r="BN30" s="255">
        <v>0</v>
      </c>
      <c r="BO30" s="255">
        <v>0</v>
      </c>
      <c r="BP30" s="255">
        <v>100</v>
      </c>
      <c r="BQ30" s="255">
        <v>100</v>
      </c>
      <c r="BR30" s="255">
        <v>0</v>
      </c>
      <c r="BS30" s="255">
        <v>100</v>
      </c>
      <c r="BT30" s="255">
        <v>1</v>
      </c>
      <c r="BU30" s="255">
        <v>1</v>
      </c>
      <c r="BV30" s="255">
        <v>0</v>
      </c>
      <c r="BW30" s="255">
        <v>1</v>
      </c>
      <c r="BX30" s="255">
        <v>103.7</v>
      </c>
      <c r="BY30" s="255">
        <v>100</v>
      </c>
      <c r="BZ30" s="255">
        <v>1</v>
      </c>
      <c r="CA30" s="255">
        <v>0</v>
      </c>
      <c r="CB30" s="255">
        <v>5</v>
      </c>
      <c r="CC30" s="255">
        <v>5</v>
      </c>
      <c r="CD30" s="255">
        <v>0</v>
      </c>
      <c r="CE30" s="255">
        <v>5</v>
      </c>
      <c r="CF30" s="255">
        <v>103.7</v>
      </c>
      <c r="CG30" s="255">
        <v>100</v>
      </c>
      <c r="CH30" s="255">
        <v>0</v>
      </c>
      <c r="CI30" s="255">
        <v>100</v>
      </c>
      <c r="CJ30" s="255">
        <v>3</v>
      </c>
      <c r="CK30" s="255">
        <v>3</v>
      </c>
      <c r="CL30" s="255">
        <v>0</v>
      </c>
      <c r="CM30" s="255">
        <v>1</v>
      </c>
      <c r="CN30" s="255">
        <v>34.57</v>
      </c>
      <c r="CO30" s="255">
        <v>33.33</v>
      </c>
      <c r="CP30" s="255">
        <v>0</v>
      </c>
      <c r="CQ30" s="255">
        <v>100</v>
      </c>
      <c r="CR30" s="255">
        <v>3</v>
      </c>
      <c r="CS30" s="255">
        <v>3</v>
      </c>
      <c r="CT30" s="255">
        <v>0</v>
      </c>
      <c r="CU30" s="255">
        <v>4</v>
      </c>
      <c r="CV30" s="255">
        <v>138.27000000000001</v>
      </c>
      <c r="CW30" s="255">
        <v>133.33000000000001</v>
      </c>
      <c r="CX30" s="255">
        <v>0</v>
      </c>
      <c r="CY30" s="255">
        <v>100</v>
      </c>
      <c r="CZ30" s="255">
        <v>1</v>
      </c>
      <c r="DA30" s="255">
        <v>1</v>
      </c>
      <c r="DB30" s="255">
        <v>0</v>
      </c>
      <c r="DC30" s="255">
        <v>3</v>
      </c>
      <c r="DD30" s="255">
        <v>311.11</v>
      </c>
      <c r="DE30" s="255">
        <v>300</v>
      </c>
      <c r="DF30" s="255">
        <v>0</v>
      </c>
      <c r="DG30" s="255">
        <v>100</v>
      </c>
    </row>
  </sheetData>
  <autoFilter ref="A6:DG6" xr:uid="{035AF4C2-379E-4E05-A870-198385941EC5}"/>
  <mergeCells count="16">
    <mergeCell ref="CB5:CI5"/>
    <mergeCell ref="CJ5:CQ5"/>
    <mergeCell ref="CR5:CY5"/>
    <mergeCell ref="CZ5:DG5"/>
    <mergeCell ref="AF5:AM5"/>
    <mergeCell ref="AN5:AU5"/>
    <mergeCell ref="AV5:BC5"/>
    <mergeCell ref="BD5:BK5"/>
    <mergeCell ref="BL5:BS5"/>
    <mergeCell ref="BT5:CA5"/>
    <mergeCell ref="X5:AE5"/>
    <mergeCell ref="A1:H1"/>
    <mergeCell ref="A2:H2"/>
    <mergeCell ref="A3:H3"/>
    <mergeCell ref="H5:O5"/>
    <mergeCell ref="P5:W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T37"/>
  <sheetViews>
    <sheetView zoomScale="70" zoomScaleNormal="70" workbookViewId="0">
      <pane xSplit="2" topLeftCell="C1" activePane="topRight" state="frozen"/>
      <selection activeCell="AS12" sqref="AS12"/>
      <selection pane="topRight" activeCell="O6" sqref="O6"/>
    </sheetView>
  </sheetViews>
  <sheetFormatPr defaultColWidth="9" defaultRowHeight="14.25" x14ac:dyDescent="0.45"/>
  <cols>
    <col min="1" max="1" width="35.46484375" style="15" customWidth="1"/>
    <col min="2" max="2" width="33.46484375" style="15" customWidth="1"/>
    <col min="3" max="3" width="30" style="15" customWidth="1"/>
    <col min="4" max="4" width="21.46484375" style="15" customWidth="1"/>
    <col min="5" max="5" width="31.46484375" style="15" customWidth="1"/>
    <col min="6" max="7" width="7.86328125" style="72" customWidth="1"/>
    <col min="8" max="8" width="9" style="72"/>
    <col min="9" max="9" width="8.33203125" style="72" customWidth="1"/>
    <col min="10" max="10" width="9.33203125" style="72" customWidth="1"/>
    <col min="11" max="11" width="8.46484375" style="72" customWidth="1"/>
    <col min="12" max="12" width="7.86328125" style="72" customWidth="1"/>
    <col min="13" max="13" width="9.46484375" style="72" customWidth="1"/>
    <col min="14" max="14" width="7.46484375" style="72" customWidth="1"/>
    <col min="15" max="15" width="7.33203125" style="72" customWidth="1"/>
    <col min="16" max="16" width="8.6640625" style="72" customWidth="1"/>
    <col min="17" max="17" width="11.6640625" style="72" customWidth="1"/>
    <col min="18" max="18" width="8" style="72" customWidth="1"/>
    <col min="19" max="19" width="8.6640625" style="72" customWidth="1"/>
    <col min="20" max="20" width="8" style="72" customWidth="1"/>
    <col min="21" max="21" width="29.33203125" customWidth="1"/>
    <col min="22" max="22" width="11.86328125" customWidth="1"/>
  </cols>
  <sheetData>
    <row r="2" spans="1:20" ht="15.4" x14ac:dyDescent="0.45">
      <c r="A2" s="81"/>
      <c r="B2" s="81">
        <v>1</v>
      </c>
      <c r="C2" s="81">
        <v>2</v>
      </c>
      <c r="D2" s="81">
        <v>3</v>
      </c>
      <c r="E2" s="81">
        <v>4</v>
      </c>
      <c r="F2" s="81">
        <v>5</v>
      </c>
      <c r="G2" s="81">
        <v>6</v>
      </c>
      <c r="H2" s="81">
        <v>7</v>
      </c>
      <c r="I2" s="81">
        <v>8</v>
      </c>
      <c r="J2" s="81">
        <v>9</v>
      </c>
      <c r="K2" s="81">
        <v>10</v>
      </c>
      <c r="L2" s="81">
        <v>11</v>
      </c>
      <c r="M2" s="81">
        <v>12</v>
      </c>
      <c r="N2" s="81">
        <v>13</v>
      </c>
      <c r="O2" s="81">
        <v>14</v>
      </c>
      <c r="P2" s="81">
        <v>15</v>
      </c>
      <c r="Q2" s="81">
        <v>16</v>
      </c>
      <c r="R2" s="81">
        <v>17</v>
      </c>
      <c r="S2" s="81">
        <v>18</v>
      </c>
      <c r="T2" s="82">
        <v>29</v>
      </c>
    </row>
    <row r="3" spans="1:20" ht="78" customHeight="1" x14ac:dyDescent="0.45">
      <c r="A3" s="83" t="s">
        <v>0</v>
      </c>
      <c r="B3" s="224" t="s">
        <v>5</v>
      </c>
      <c r="C3" s="84" t="s">
        <v>200</v>
      </c>
      <c r="D3" s="84" t="s">
        <v>201</v>
      </c>
      <c r="E3" s="226" t="s">
        <v>202</v>
      </c>
      <c r="F3" s="222" t="s">
        <v>6</v>
      </c>
      <c r="G3" s="222" t="s">
        <v>7</v>
      </c>
      <c r="H3" s="222" t="s">
        <v>8</v>
      </c>
      <c r="I3" s="222" t="s">
        <v>9</v>
      </c>
      <c r="J3" s="222" t="s">
        <v>10</v>
      </c>
      <c r="K3" s="222" t="s">
        <v>11</v>
      </c>
      <c r="L3" s="222" t="s">
        <v>12</v>
      </c>
      <c r="M3" s="222" t="s">
        <v>203</v>
      </c>
      <c r="N3" s="222" t="s">
        <v>255</v>
      </c>
      <c r="O3" s="222" t="s">
        <v>14</v>
      </c>
      <c r="P3" s="222" t="s">
        <v>15</v>
      </c>
      <c r="Q3" s="222" t="s">
        <v>16</v>
      </c>
      <c r="R3" s="222" t="s">
        <v>17</v>
      </c>
      <c r="S3" s="222" t="s">
        <v>18</v>
      </c>
      <c r="T3" s="82"/>
    </row>
    <row r="4" spans="1:20" ht="21" customHeight="1" x14ac:dyDescent="0.45">
      <c r="A4" s="83"/>
      <c r="B4" s="225"/>
      <c r="C4" s="84"/>
      <c r="D4" s="84"/>
      <c r="E4" s="227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82"/>
    </row>
    <row r="5" spans="1:20" ht="21" customHeight="1" x14ac:dyDescent="0.45">
      <c r="A5" s="83"/>
      <c r="B5" s="85"/>
      <c r="C5" s="84"/>
      <c r="D5" s="84"/>
      <c r="E5" s="84"/>
      <c r="F5" s="86">
        <v>134</v>
      </c>
      <c r="G5" s="87">
        <v>136</v>
      </c>
      <c r="H5" s="88">
        <v>67</v>
      </c>
      <c r="I5" s="86">
        <v>51</v>
      </c>
      <c r="J5" s="87">
        <v>125</v>
      </c>
      <c r="K5" s="86">
        <v>307</v>
      </c>
      <c r="L5" s="88">
        <v>806</v>
      </c>
      <c r="M5" s="86">
        <v>273</v>
      </c>
      <c r="N5" s="87">
        <v>59</v>
      </c>
      <c r="O5" s="88">
        <v>57</v>
      </c>
      <c r="P5" s="86"/>
      <c r="Q5" s="87">
        <v>57</v>
      </c>
      <c r="R5" s="86">
        <v>21</v>
      </c>
      <c r="S5" s="87">
        <v>4</v>
      </c>
      <c r="T5" s="82"/>
    </row>
    <row r="6" spans="1:20" s="41" customFormat="1" ht="21.5" customHeight="1" x14ac:dyDescent="0.45">
      <c r="A6" s="113">
        <v>1</v>
      </c>
      <c r="B6" s="92" t="s">
        <v>20</v>
      </c>
      <c r="C6" s="94" t="s">
        <v>66</v>
      </c>
      <c r="D6" s="105" t="s">
        <v>67</v>
      </c>
      <c r="E6" s="95" t="s">
        <v>128</v>
      </c>
      <c r="F6" s="119">
        <f>VLOOKUP(D6,GBOC!$E$7:$DG$29,$C$23,0)</f>
        <v>8</v>
      </c>
      <c r="G6" s="119">
        <f>VLOOKUP(D6,GBOC!$E$7:$DG$29,$C$24,0)</f>
        <v>4</v>
      </c>
      <c r="H6" s="119">
        <f>VLOOKUP(D6,GBOC!$E$7:$DG$29,$C$25,0)</f>
        <v>5</v>
      </c>
      <c r="I6" s="119">
        <f>VLOOKUP(D6,GBOC!$E$7:$DG$29,$C$26,0)</f>
        <v>5</v>
      </c>
      <c r="J6" s="119">
        <f>VLOOKUP(D6,GBOC!$E$7:$DG$29,$C$27,0)</f>
        <v>4</v>
      </c>
      <c r="K6" s="119">
        <f>VLOOKUP(D6,GBOC!$E$7:$DG$29,$C$28,0)</f>
        <v>1</v>
      </c>
      <c r="L6" s="119">
        <f>VLOOKUP(D6,GBOC!$E$7:$DG$29,$C$29,0)</f>
        <v>30</v>
      </c>
      <c r="M6" s="119">
        <f>VLOOKUP(D6,GBOC!$E$7:$DG$29,$C$30,0)</f>
        <v>9</v>
      </c>
      <c r="N6" s="119">
        <f>VLOOKUP(D6,GBOC!$E$7:$DG$29,$C$31,0)</f>
        <v>4</v>
      </c>
      <c r="O6" s="119">
        <f>VLOOKUP(D6,GBOC!$E$7:$DG$29,$C$32,0)</f>
        <v>5</v>
      </c>
      <c r="P6" s="93">
        <v>0.97</v>
      </c>
      <c r="Q6" s="119">
        <f>VLOOKUP(D6,GBOC!$E$7:$DG$29,$C$34,0)</f>
        <v>2</v>
      </c>
      <c r="R6" s="119">
        <f>VLOOKUP(D6,GBOC!$E$7:$DG$29,$C$36,0)</f>
        <v>1</v>
      </c>
      <c r="S6" s="119">
        <f>VLOOKUP(D6,GBOC!$E$7:$DG$29,$C$37,0)</f>
        <v>0</v>
      </c>
      <c r="T6" s="82"/>
    </row>
    <row r="7" spans="1:20" s="23" customFormat="1" ht="21.5" customHeight="1" x14ac:dyDescent="0.45">
      <c r="A7" s="113">
        <v>2</v>
      </c>
      <c r="B7" s="92" t="s">
        <v>21</v>
      </c>
      <c r="C7" s="92" t="s">
        <v>71</v>
      </c>
      <c r="D7" s="105" t="s">
        <v>72</v>
      </c>
      <c r="E7" s="91" t="s">
        <v>129</v>
      </c>
      <c r="F7" s="119">
        <f>VLOOKUP(D7,GBOC!$E$7:$DG$29,$C$23,0)</f>
        <v>7</v>
      </c>
      <c r="G7" s="119">
        <f>VLOOKUP(D7,GBOC!$E$7:$DG$29,$C$24,0)</f>
        <v>4</v>
      </c>
      <c r="H7" s="119">
        <f>VLOOKUP(D7,GBOC!$E$7:$DG$29,$C$25,0)</f>
        <v>5</v>
      </c>
      <c r="I7" s="119">
        <f>VLOOKUP(D7,GBOC!$E$7:$DG$29,$C$26,0)</f>
        <v>4</v>
      </c>
      <c r="J7" s="119">
        <f>VLOOKUP(D7,GBOC!$E$7:$DG$29,$C$27,0)</f>
        <v>4</v>
      </c>
      <c r="K7" s="119">
        <f>VLOOKUP(D7,GBOC!$E$7:$DG$29,$C$28,0)</f>
        <v>1</v>
      </c>
      <c r="L7" s="119">
        <f>VLOOKUP(D7,GBOC!$E$7:$DG$29,$C$29,0)</f>
        <v>30</v>
      </c>
      <c r="M7" s="119">
        <f>VLOOKUP(D7,GBOC!$E$7:$DG$29,$C$30,0)</f>
        <v>8</v>
      </c>
      <c r="N7" s="119">
        <f>VLOOKUP(D7,GBOC!$E$7:$DG$29,$C$31,0)</f>
        <v>4</v>
      </c>
      <c r="O7" s="119">
        <f>VLOOKUP(D7,GBOC!$E$7:$DG$29,$C$32,0)</f>
        <v>5</v>
      </c>
      <c r="P7" s="93">
        <v>0.97</v>
      </c>
      <c r="Q7" s="119">
        <f>VLOOKUP(D7,GBOC!$E$7:$DG$29,$C$34,0)</f>
        <v>3</v>
      </c>
      <c r="R7" s="119">
        <f>VLOOKUP(D7,GBOC!$E$7:$DG$29,$C$36,0)</f>
        <v>1</v>
      </c>
      <c r="S7" s="119">
        <f>VLOOKUP(D7,GBOC!$E$7:$DG$29,$C$37,0)</f>
        <v>1</v>
      </c>
      <c r="T7" s="82"/>
    </row>
    <row r="8" spans="1:20" s="23" customFormat="1" ht="21.5" customHeight="1" x14ac:dyDescent="0.45">
      <c r="A8" s="113">
        <v>3</v>
      </c>
      <c r="B8" s="92" t="s">
        <v>22</v>
      </c>
      <c r="C8" s="92" t="s">
        <v>74</v>
      </c>
      <c r="D8" s="105" t="s">
        <v>75</v>
      </c>
      <c r="E8" s="91" t="s">
        <v>129</v>
      </c>
      <c r="F8" s="119">
        <f>VLOOKUP(D8,GBOC!$E$7:$DG$29,$C$23,0)</f>
        <v>7</v>
      </c>
      <c r="G8" s="119">
        <f>VLOOKUP(D8,GBOC!$E$7:$DG$29,$C$24,0)</f>
        <v>4</v>
      </c>
      <c r="H8" s="119">
        <f>VLOOKUP(D8,GBOC!$E$7:$DG$29,$C$25,0)</f>
        <v>5</v>
      </c>
      <c r="I8" s="119">
        <f>VLOOKUP(D8,GBOC!$E$7:$DG$29,$C$26,0)</f>
        <v>4</v>
      </c>
      <c r="J8" s="119">
        <f>VLOOKUP(D8,GBOC!$E$7:$DG$29,$C$27,0)</f>
        <v>3</v>
      </c>
      <c r="K8" s="119">
        <f>VLOOKUP(D8,GBOC!$E$7:$DG$29,$C$28,0)</f>
        <v>1</v>
      </c>
      <c r="L8" s="119">
        <f>VLOOKUP(D8,GBOC!$E$7:$DG$29,$C$29,0)</f>
        <v>30</v>
      </c>
      <c r="M8" s="119">
        <f>VLOOKUP(D8,GBOC!$E$7:$DG$29,$C$30,0)</f>
        <v>8</v>
      </c>
      <c r="N8" s="119">
        <f>VLOOKUP(D8,GBOC!$E$7:$DG$29,$C$31,0)</f>
        <v>4</v>
      </c>
      <c r="O8" s="119">
        <f>VLOOKUP(D8,GBOC!$E$7:$DG$29,$C$32,0)</f>
        <v>5</v>
      </c>
      <c r="P8" s="93">
        <v>0.97</v>
      </c>
      <c r="Q8" s="119">
        <f>VLOOKUP(D8,GBOC!$E$7:$DG$29,$C$34,0)</f>
        <v>3</v>
      </c>
      <c r="R8" s="119">
        <f>VLOOKUP(D8,GBOC!$E$7:$DG$29,$C$36,0)</f>
        <v>1</v>
      </c>
      <c r="S8" s="119">
        <f>VLOOKUP(D8,GBOC!$E$7:$DG$29,$C$37,0)</f>
        <v>0</v>
      </c>
      <c r="T8" s="82"/>
    </row>
    <row r="9" spans="1:20" ht="21.5" customHeight="1" x14ac:dyDescent="0.45">
      <c r="A9" s="113">
        <v>4</v>
      </c>
      <c r="B9" s="92" t="s">
        <v>24</v>
      </c>
      <c r="C9" s="89" t="s">
        <v>77</v>
      </c>
      <c r="D9" s="105" t="s">
        <v>78</v>
      </c>
      <c r="E9" s="91" t="s">
        <v>129</v>
      </c>
      <c r="F9" s="119">
        <f>VLOOKUP(D9,GBOC!$E$7:$DG$29,$C$23,0)</f>
        <v>7</v>
      </c>
      <c r="G9" s="119">
        <f>VLOOKUP(D9,GBOC!$E$7:$DG$29,$C$24,0)</f>
        <v>3</v>
      </c>
      <c r="H9" s="119">
        <f>VLOOKUP(D9,GBOC!$E$7:$DG$29,$C$25,0)</f>
        <v>4</v>
      </c>
      <c r="I9" s="119">
        <f>VLOOKUP(D9,GBOC!$E$7:$DG$29,$C$26,0)</f>
        <v>4</v>
      </c>
      <c r="J9" s="119">
        <f>VLOOKUP(D9,GBOC!$E$7:$DG$29,$C$27,0)</f>
        <v>3</v>
      </c>
      <c r="K9" s="119">
        <f>VLOOKUP(D9,GBOC!$E$7:$DG$29,$C$28,0)</f>
        <v>1</v>
      </c>
      <c r="L9" s="119">
        <f>VLOOKUP(D9,GBOC!$E$7:$DG$29,$C$29,0)</f>
        <v>30</v>
      </c>
      <c r="M9" s="119">
        <f>VLOOKUP(D9,GBOC!$E$7:$DG$29,$C$30,0)</f>
        <v>8</v>
      </c>
      <c r="N9" s="119">
        <f>VLOOKUP(D9,GBOC!$E$7:$DG$29,$C$31,0)</f>
        <v>4</v>
      </c>
      <c r="O9" s="119">
        <f>VLOOKUP(D9,GBOC!$E$7:$DG$29,$C$32,0)</f>
        <v>3</v>
      </c>
      <c r="P9" s="93">
        <v>0.97</v>
      </c>
      <c r="Q9" s="119">
        <f>VLOOKUP(D9,GBOC!$E$7:$DG$29,$C$34,0)</f>
        <v>1</v>
      </c>
      <c r="R9" s="119">
        <f>VLOOKUP(D9,GBOC!$E$7:$DG$29,$C$36,0)</f>
        <v>1</v>
      </c>
      <c r="S9" s="119">
        <f>VLOOKUP(D9,GBOC!$E$7:$DG$29,$C$37,0)</f>
        <v>0</v>
      </c>
      <c r="T9" s="82"/>
    </row>
    <row r="10" spans="1:20" ht="21.5" customHeight="1" x14ac:dyDescent="0.45">
      <c r="A10" s="113">
        <v>5</v>
      </c>
      <c r="B10" s="92" t="s">
        <v>25</v>
      </c>
      <c r="C10" s="89" t="s">
        <v>80</v>
      </c>
      <c r="D10" s="105" t="s">
        <v>81</v>
      </c>
      <c r="E10" s="90" t="s">
        <v>179</v>
      </c>
      <c r="F10" s="119">
        <f>VLOOKUP(D10,GBOC!$E$7:$DG$29,$C$23,0)</f>
        <v>7</v>
      </c>
      <c r="G10" s="119">
        <f>VLOOKUP(D10,GBOC!$E$7:$DG$29,$C$24,0)</f>
        <v>4</v>
      </c>
      <c r="H10" s="119">
        <f>VLOOKUP(D10,GBOC!$E$7:$DG$29,$C$25,0)</f>
        <v>5</v>
      </c>
      <c r="I10" s="119">
        <f>VLOOKUP(D10,GBOC!$E$7:$DG$29,$C$26,0)</f>
        <v>4</v>
      </c>
      <c r="J10" s="119">
        <f>VLOOKUP(D10,GBOC!$E$7:$DG$29,$C$27,0)</f>
        <v>4</v>
      </c>
      <c r="K10" s="119">
        <f>VLOOKUP(D10,GBOC!$E$7:$DG$29,$C$28,0)</f>
        <v>1</v>
      </c>
      <c r="L10" s="119">
        <f>VLOOKUP(D10,GBOC!$E$7:$DG$29,$C$29,0)</f>
        <v>40</v>
      </c>
      <c r="M10" s="119">
        <f>VLOOKUP(D10,GBOC!$E$7:$DG$29,$C$30,0)</f>
        <v>8</v>
      </c>
      <c r="N10" s="119">
        <f>VLOOKUP(D10,GBOC!$E$7:$DG$29,$C$31,0)</f>
        <v>3</v>
      </c>
      <c r="O10" s="119">
        <f>VLOOKUP(D10,GBOC!$E$7:$DG$29,$C$32,0)</f>
        <v>4</v>
      </c>
      <c r="P10" s="93">
        <v>0.97</v>
      </c>
      <c r="Q10" s="119">
        <f>VLOOKUP(D10,GBOC!$E$7:$DG$29,$C$34,0)</f>
        <v>2</v>
      </c>
      <c r="R10" s="119">
        <f>VLOOKUP(D10,GBOC!$E$7:$DG$29,$C$36,0)</f>
        <v>1</v>
      </c>
      <c r="S10" s="119">
        <f>VLOOKUP(D10,GBOC!$E$7:$DG$29,$C$37,0)</f>
        <v>0</v>
      </c>
      <c r="T10" s="82"/>
    </row>
    <row r="11" spans="1:20" ht="21.5" customHeight="1" x14ac:dyDescent="0.45">
      <c r="A11" s="113">
        <v>6</v>
      </c>
      <c r="B11" s="92" t="s">
        <v>26</v>
      </c>
      <c r="C11" s="89" t="s">
        <v>83</v>
      </c>
      <c r="D11" s="105" t="s">
        <v>84</v>
      </c>
      <c r="E11" s="91" t="s">
        <v>129</v>
      </c>
      <c r="F11" s="119">
        <f>VLOOKUP(D11,GBOC!$E$7:$DG$29,$C$23,0)</f>
        <v>7</v>
      </c>
      <c r="G11" s="119">
        <f>VLOOKUP(D11,GBOC!$E$7:$DG$29,$C$24,0)</f>
        <v>3</v>
      </c>
      <c r="H11" s="119">
        <f>VLOOKUP(D11,GBOC!$E$7:$DG$29,$C$25,0)</f>
        <v>4</v>
      </c>
      <c r="I11" s="119">
        <f>VLOOKUP(D11,GBOC!$E$7:$DG$29,$C$26,0)</f>
        <v>4</v>
      </c>
      <c r="J11" s="119">
        <f>VLOOKUP(D11,GBOC!$E$7:$DG$29,$C$27,0)</f>
        <v>3</v>
      </c>
      <c r="K11" s="119">
        <f>VLOOKUP(D11,GBOC!$E$7:$DG$29,$C$28,0)</f>
        <v>1</v>
      </c>
      <c r="L11" s="119">
        <f>VLOOKUP(D11,GBOC!$E$7:$DG$29,$C$29,0)</f>
        <v>30</v>
      </c>
      <c r="M11" s="119">
        <f>VLOOKUP(D11,GBOC!$E$7:$DG$29,$C$30,0)</f>
        <v>8</v>
      </c>
      <c r="N11" s="119">
        <f>VLOOKUP(D11,GBOC!$E$7:$DG$29,$C$31,0)</f>
        <v>4</v>
      </c>
      <c r="O11" s="119">
        <f>VLOOKUP(D11,GBOC!$E$7:$DG$29,$C$32,0)</f>
        <v>4</v>
      </c>
      <c r="P11" s="93">
        <v>0.97</v>
      </c>
      <c r="Q11" s="119">
        <f>VLOOKUP(D11,GBOC!$E$7:$DG$29,$C$34,0)</f>
        <v>1</v>
      </c>
      <c r="R11" s="119">
        <f>VLOOKUP(D11,GBOC!$E$7:$DG$29,$C$36,0)</f>
        <v>1</v>
      </c>
      <c r="S11" s="119">
        <f>VLOOKUP(D11,GBOC!$E$7:$DG$29,$C$37,0)</f>
        <v>0</v>
      </c>
      <c r="T11" s="82"/>
    </row>
    <row r="12" spans="1:20" s="23" customFormat="1" ht="21.5" customHeight="1" x14ac:dyDescent="0.45">
      <c r="A12" s="113">
        <v>7</v>
      </c>
      <c r="B12" s="92" t="s">
        <v>27</v>
      </c>
      <c r="C12" s="89" t="s">
        <v>86</v>
      </c>
      <c r="D12" s="105" t="s">
        <v>87</v>
      </c>
      <c r="E12" s="95" t="s">
        <v>128</v>
      </c>
      <c r="F12" s="119">
        <f>VLOOKUP(D12,GBOC!$E$7:$DG$29,$C$23,0)</f>
        <v>8</v>
      </c>
      <c r="G12" s="119">
        <f>VLOOKUP(D12,GBOC!$E$7:$DG$29,$C$24,0)</f>
        <v>4</v>
      </c>
      <c r="H12" s="119">
        <f>VLOOKUP(D12,GBOC!$E$7:$DG$29,$C$25,0)</f>
        <v>5</v>
      </c>
      <c r="I12" s="119">
        <f>VLOOKUP(D12,GBOC!$E$7:$DG$29,$C$26,0)</f>
        <v>5</v>
      </c>
      <c r="J12" s="119">
        <f>VLOOKUP(D12,GBOC!$E$7:$DG$29,$C$27,0)</f>
        <v>4</v>
      </c>
      <c r="K12" s="119">
        <f>VLOOKUP(D12,GBOC!$E$7:$DG$29,$C$28,0)</f>
        <v>1</v>
      </c>
      <c r="L12" s="119">
        <f>VLOOKUP(D12,GBOC!$E$7:$DG$29,$C$29,0)</f>
        <v>50</v>
      </c>
      <c r="M12" s="119">
        <f>VLOOKUP(D12,GBOC!$E$7:$DG$29,$C$30,0)</f>
        <v>9</v>
      </c>
      <c r="N12" s="119">
        <f>VLOOKUP(D12,GBOC!$E$7:$DG$29,$C$31,0)</f>
        <v>4</v>
      </c>
      <c r="O12" s="119">
        <f>VLOOKUP(D12,GBOC!$E$7:$DG$29,$C$32,0)</f>
        <v>5</v>
      </c>
      <c r="P12" s="93">
        <v>0.97</v>
      </c>
      <c r="Q12" s="119">
        <f>VLOOKUP(D12,GBOC!$E$7:$DG$29,$C$34,0)</f>
        <v>2</v>
      </c>
      <c r="R12" s="119">
        <f>VLOOKUP(D12,GBOC!$E$7:$DG$29,$C$36,0)</f>
        <v>1</v>
      </c>
      <c r="S12" s="119">
        <f>VLOOKUP(D12,GBOC!$E$7:$DG$29,$C$37,0)</f>
        <v>1</v>
      </c>
      <c r="T12" s="82"/>
    </row>
    <row r="13" spans="1:20" s="41" customFormat="1" ht="21.5" customHeight="1" x14ac:dyDescent="0.45">
      <c r="A13" s="113">
        <v>8</v>
      </c>
      <c r="B13" s="92" t="s">
        <v>29</v>
      </c>
      <c r="C13" s="89" t="s">
        <v>92</v>
      </c>
      <c r="D13" s="105" t="s">
        <v>93</v>
      </c>
      <c r="E13" s="95" t="s">
        <v>128</v>
      </c>
      <c r="F13" s="119" t="e">
        <f>VLOOKUP(D13,GBOC!$E$7:$DG$29,$C$23,0)</f>
        <v>#N/A</v>
      </c>
      <c r="G13" s="119" t="e">
        <f>VLOOKUP(D13,GBOC!$E$7:$DG$29,$C$24,0)</f>
        <v>#N/A</v>
      </c>
      <c r="H13" s="119" t="e">
        <f>VLOOKUP(D13,GBOC!$E$7:$DG$29,$C$25,0)</f>
        <v>#N/A</v>
      </c>
      <c r="I13" s="119" t="e">
        <f>VLOOKUP(D13,GBOC!$E$7:$DG$29,$C$26,0)</f>
        <v>#N/A</v>
      </c>
      <c r="J13" s="119" t="e">
        <f>VLOOKUP(D13,GBOC!$E$7:$DG$29,$C$27,0)</f>
        <v>#N/A</v>
      </c>
      <c r="K13" s="119" t="e">
        <f>VLOOKUP(D13,GBOC!$E$7:$DG$29,$C$28,0)</f>
        <v>#N/A</v>
      </c>
      <c r="L13" s="119" t="e">
        <f>VLOOKUP(D13,GBOC!$E$7:$DG$29,$C$29,0)</f>
        <v>#N/A</v>
      </c>
      <c r="M13" s="119" t="e">
        <f>VLOOKUP(D13,GBOC!$E$7:$DG$29,$C$30,0)</f>
        <v>#N/A</v>
      </c>
      <c r="N13" s="119" t="e">
        <f>VLOOKUP(D13,GBOC!$E$7:$DG$29,$C$31,0)</f>
        <v>#N/A</v>
      </c>
      <c r="O13" s="119" t="e">
        <f>VLOOKUP(D13,GBOC!$E$7:$DG$29,$C$32,0)</f>
        <v>#N/A</v>
      </c>
      <c r="P13" s="93">
        <v>0.97</v>
      </c>
      <c r="Q13" s="119" t="e">
        <f>VLOOKUP(D13,GBOC!$E$7:$DG$29,$C$34,0)</f>
        <v>#N/A</v>
      </c>
      <c r="R13" s="119" t="e">
        <f>VLOOKUP(D13,GBOC!$E$7:$DG$29,$C$36,0)</f>
        <v>#N/A</v>
      </c>
      <c r="S13" s="119" t="e">
        <f>VLOOKUP(D13,GBOC!$E$7:$DG$29,$C$37,0)</f>
        <v>#N/A</v>
      </c>
      <c r="T13" s="82"/>
    </row>
    <row r="14" spans="1:20" ht="21.5" customHeight="1" x14ac:dyDescent="0.45">
      <c r="A14" s="113">
        <v>9</v>
      </c>
      <c r="B14" s="92" t="s">
        <v>28</v>
      </c>
      <c r="C14" s="94" t="s">
        <v>98</v>
      </c>
      <c r="D14" s="114" t="s">
        <v>99</v>
      </c>
      <c r="E14" s="95" t="s">
        <v>128</v>
      </c>
      <c r="F14" s="119">
        <f>VLOOKUP(D14,GBOC!$E$7:$DG$29,$C$23,0)</f>
        <v>8</v>
      </c>
      <c r="G14" s="119">
        <f>VLOOKUP(D14,GBOC!$E$7:$DG$29,$C$24,0)</f>
        <v>4</v>
      </c>
      <c r="H14" s="119">
        <f>VLOOKUP(D14,GBOC!$E$7:$DG$29,$C$25,0)</f>
        <v>5</v>
      </c>
      <c r="I14" s="119">
        <f>VLOOKUP(D14,GBOC!$E$7:$DG$29,$C$26,0)</f>
        <v>5</v>
      </c>
      <c r="J14" s="119">
        <f>VLOOKUP(D14,GBOC!$E$7:$DG$29,$C$27,0)</f>
        <v>3</v>
      </c>
      <c r="K14" s="119">
        <f>VLOOKUP(D14,GBOC!$E$7:$DG$29,$C$28,0)</f>
        <v>1</v>
      </c>
      <c r="L14" s="119">
        <f>VLOOKUP(D14,GBOC!$E$7:$DG$29,$C$29,0)</f>
        <v>30</v>
      </c>
      <c r="M14" s="119">
        <f>VLOOKUP(D14,GBOC!$E$7:$DG$29,$C$30,0)</f>
        <v>9</v>
      </c>
      <c r="N14" s="119">
        <f>VLOOKUP(D14,GBOC!$E$7:$DG$29,$C$31,0)</f>
        <v>4</v>
      </c>
      <c r="O14" s="119">
        <f>VLOOKUP(D14,GBOC!$E$7:$DG$29,$C$32,0)</f>
        <v>5</v>
      </c>
      <c r="P14" s="93">
        <v>0.97</v>
      </c>
      <c r="Q14" s="119">
        <f>VLOOKUP(D14,GBOC!$E$7:$DG$29,$C$34,0)</f>
        <v>3</v>
      </c>
      <c r="R14" s="119">
        <f>VLOOKUP(D14,GBOC!$E$7:$DG$29,$C$36,0)</f>
        <v>1</v>
      </c>
      <c r="S14" s="119">
        <f>VLOOKUP(D14,GBOC!$E$7:$DG$29,$C$37,0)</f>
        <v>0</v>
      </c>
      <c r="T14" s="82"/>
    </row>
    <row r="15" spans="1:20" ht="21.5" customHeight="1" x14ac:dyDescent="0.45">
      <c r="A15" s="113">
        <v>10</v>
      </c>
      <c r="B15" s="92" t="s">
        <v>23</v>
      </c>
      <c r="C15" s="94" t="s">
        <v>106</v>
      </c>
      <c r="D15" s="105" t="s">
        <v>107</v>
      </c>
      <c r="E15" s="91" t="s">
        <v>129</v>
      </c>
      <c r="F15" s="119">
        <f>VLOOKUP(D15,GBOC!$E$7:$DG$29,$C$23,0)</f>
        <v>7</v>
      </c>
      <c r="G15" s="119">
        <f>VLOOKUP(D15,GBOC!$E$7:$DG$29,$C$24,0)</f>
        <v>4</v>
      </c>
      <c r="H15" s="119">
        <f>VLOOKUP(D15,GBOC!$E$7:$DG$29,$C$25,0)</f>
        <v>5</v>
      </c>
      <c r="I15" s="119">
        <f>VLOOKUP(D15,GBOC!$E$7:$DG$29,$C$26,0)</f>
        <v>4</v>
      </c>
      <c r="J15" s="119">
        <f>VLOOKUP(D15,GBOC!$E$7:$DG$29,$C$27,0)</f>
        <v>4</v>
      </c>
      <c r="K15" s="119">
        <f>VLOOKUP(D15,GBOC!$E$7:$DG$29,$C$28,0)</f>
        <v>1</v>
      </c>
      <c r="L15" s="119">
        <f>VLOOKUP(D15,GBOC!$E$7:$DG$29,$C$29,0)</f>
        <v>30</v>
      </c>
      <c r="M15" s="119">
        <f>VLOOKUP(D15,GBOC!$E$7:$DG$29,$C$30,0)</f>
        <v>8</v>
      </c>
      <c r="N15" s="119">
        <f>VLOOKUP(D15,GBOC!$E$7:$DG$29,$C$31,0)</f>
        <v>4</v>
      </c>
      <c r="O15" s="119">
        <f>VLOOKUP(D15,GBOC!$E$7:$DG$29,$C$32,0)</f>
        <v>5</v>
      </c>
      <c r="P15" s="93">
        <v>0.97</v>
      </c>
      <c r="Q15" s="119">
        <f>VLOOKUP(D15,GBOC!$E$7:$DG$29,$C$34,0)</f>
        <v>3</v>
      </c>
      <c r="R15" s="119">
        <f>VLOOKUP(D15,GBOC!$E$7:$DG$29,$C$36,0)</f>
        <v>1</v>
      </c>
      <c r="S15" s="119">
        <f>VLOOKUP(D15,GBOC!$E$7:$DG$29,$C$37,0)</f>
        <v>0</v>
      </c>
      <c r="T15" s="82"/>
    </row>
    <row r="16" spans="1:20" ht="21.5" customHeight="1" x14ac:dyDescent="0.45">
      <c r="A16" s="113">
        <v>11</v>
      </c>
      <c r="B16" s="92" t="s">
        <v>32</v>
      </c>
      <c r="C16" s="96" t="s">
        <v>109</v>
      </c>
      <c r="D16" s="105" t="s">
        <v>110</v>
      </c>
      <c r="E16" s="95" t="s">
        <v>128</v>
      </c>
      <c r="F16" s="119">
        <f>VLOOKUP(D16,GBOC!$E$7:$DG$29,$C$23,0)</f>
        <v>8</v>
      </c>
      <c r="G16" s="119">
        <f>VLOOKUP(D16,GBOC!$E$7:$DG$29,$C$24,0)</f>
        <v>4</v>
      </c>
      <c r="H16" s="119">
        <f>VLOOKUP(D16,GBOC!$E$7:$DG$29,$C$25,0)</f>
        <v>5</v>
      </c>
      <c r="I16" s="119">
        <f>VLOOKUP(D16,GBOC!$E$7:$DG$29,$C$26,0)</f>
        <v>5</v>
      </c>
      <c r="J16" s="119">
        <f>VLOOKUP(D16,GBOC!$E$7:$DG$29,$C$27,0)</f>
        <v>3</v>
      </c>
      <c r="K16" s="119">
        <f>VLOOKUP(D16,GBOC!$E$7:$DG$29,$C$28,0)</f>
        <v>1</v>
      </c>
      <c r="L16" s="119">
        <f>VLOOKUP(D16,GBOC!$E$7:$DG$29,$C$29,0)</f>
        <v>30</v>
      </c>
      <c r="M16" s="119">
        <f>VLOOKUP(D16,GBOC!$E$7:$DG$29,$C$30,0)</f>
        <v>9</v>
      </c>
      <c r="N16" s="119">
        <f>VLOOKUP(D16,GBOC!$E$7:$DG$29,$C$31,0)</f>
        <v>4</v>
      </c>
      <c r="O16" s="119">
        <f>VLOOKUP(D16,GBOC!$E$7:$DG$29,$C$32,0)</f>
        <v>5</v>
      </c>
      <c r="P16" s="93">
        <v>0.97</v>
      </c>
      <c r="Q16" s="119">
        <f>VLOOKUP(D16,GBOC!$E$7:$DG$29,$C$34,0)</f>
        <v>2</v>
      </c>
      <c r="R16" s="119">
        <f>VLOOKUP(D16,GBOC!$E$7:$DG$29,$C$36,0)</f>
        <v>1</v>
      </c>
      <c r="S16" s="119">
        <f>VLOOKUP(D16,GBOC!$E$7:$DG$29,$C$37,0)</f>
        <v>0</v>
      </c>
      <c r="T16" s="82"/>
    </row>
    <row r="17" spans="1:20" ht="21.5" customHeight="1" x14ac:dyDescent="0.45">
      <c r="A17" s="113">
        <v>12</v>
      </c>
      <c r="B17" s="92" t="s">
        <v>31</v>
      </c>
      <c r="C17" s="94" t="s">
        <v>112</v>
      </c>
      <c r="D17" s="105" t="s">
        <v>113</v>
      </c>
      <c r="E17" s="91" t="s">
        <v>129</v>
      </c>
      <c r="F17" s="119">
        <f>VLOOKUP(D17,GBOC!$E$7:$DG$29,$C$23,0)</f>
        <v>7</v>
      </c>
      <c r="G17" s="119">
        <f>VLOOKUP(D17,GBOC!$E$7:$DG$29,$C$24,0)</f>
        <v>4</v>
      </c>
      <c r="H17" s="119">
        <f>VLOOKUP(D17,GBOC!$E$7:$DG$29,$C$25,0)</f>
        <v>5</v>
      </c>
      <c r="I17" s="119">
        <f>VLOOKUP(D17,GBOC!$E$7:$DG$29,$C$26,0)</f>
        <v>4</v>
      </c>
      <c r="J17" s="119">
        <f>VLOOKUP(D17,GBOC!$E$7:$DG$29,$C$27,0)</f>
        <v>4</v>
      </c>
      <c r="K17" s="119">
        <f>VLOOKUP(D17,GBOC!$E$7:$DG$29,$C$28,0)</f>
        <v>1</v>
      </c>
      <c r="L17" s="119">
        <f>VLOOKUP(D17,GBOC!$E$7:$DG$29,$C$29,0)</f>
        <v>30</v>
      </c>
      <c r="M17" s="119">
        <f>VLOOKUP(D17,GBOC!$E$7:$DG$29,$C$30,0)</f>
        <v>8</v>
      </c>
      <c r="N17" s="119">
        <f>VLOOKUP(D17,GBOC!$E$7:$DG$29,$C$31,0)</f>
        <v>4</v>
      </c>
      <c r="O17" s="119">
        <f>VLOOKUP(D17,GBOC!$E$7:$DG$29,$C$32,0)</f>
        <v>4</v>
      </c>
      <c r="P17" s="93">
        <v>0.97</v>
      </c>
      <c r="Q17" s="119">
        <f>VLOOKUP(D17,GBOC!$E$7:$DG$29,$C$34,0)</f>
        <v>2</v>
      </c>
      <c r="R17" s="119">
        <f>VLOOKUP(D17,GBOC!$E$7:$DG$29,$C$36,0)</f>
        <v>1</v>
      </c>
      <c r="S17" s="119">
        <f>VLOOKUP(D17,GBOC!$E$7:$DG$29,$C$37,0)</f>
        <v>0</v>
      </c>
      <c r="T17" s="82"/>
    </row>
    <row r="18" spans="1:20" ht="21.5" customHeight="1" x14ac:dyDescent="0.45">
      <c r="A18" s="113">
        <v>13</v>
      </c>
      <c r="B18" s="92" t="s">
        <v>30</v>
      </c>
      <c r="C18" s="94" t="s">
        <v>116</v>
      </c>
      <c r="D18" s="105" t="s">
        <v>117</v>
      </c>
      <c r="E18" s="95" t="s">
        <v>128</v>
      </c>
      <c r="F18" s="119">
        <f>VLOOKUP(D18,GBOC!$E$7:$DG$29,$C$23,0)</f>
        <v>8</v>
      </c>
      <c r="G18" s="119">
        <f>VLOOKUP(D18,GBOC!$E$7:$DG$29,$C$24,0)</f>
        <v>4</v>
      </c>
      <c r="H18" s="119">
        <f>VLOOKUP(D18,GBOC!$E$7:$DG$29,$C$25,0)</f>
        <v>5</v>
      </c>
      <c r="I18" s="119">
        <f>VLOOKUP(D18,GBOC!$E$7:$DG$29,$C$26,0)</f>
        <v>5</v>
      </c>
      <c r="J18" s="119">
        <f>VLOOKUP(D18,GBOC!$E$7:$DG$29,$C$27,0)</f>
        <v>4</v>
      </c>
      <c r="K18" s="119">
        <f>VLOOKUP(D18,GBOC!$E$7:$DG$29,$C$28,0)</f>
        <v>1</v>
      </c>
      <c r="L18" s="119">
        <f>VLOOKUP(D18,GBOC!$E$7:$DG$29,$C$29,0)</f>
        <v>30</v>
      </c>
      <c r="M18" s="119">
        <f>VLOOKUP(D18,GBOC!$E$7:$DG$29,$C$30,0)</f>
        <v>9</v>
      </c>
      <c r="N18" s="119">
        <f>VLOOKUP(D18,GBOC!$E$7:$DG$29,$C$31,0)</f>
        <v>4</v>
      </c>
      <c r="O18" s="119">
        <f>VLOOKUP(D18,GBOC!$E$7:$DG$29,$C$32,0)</f>
        <v>5</v>
      </c>
      <c r="P18" s="93">
        <v>0.97</v>
      </c>
      <c r="Q18" s="119">
        <f>VLOOKUP(D18,GBOC!$E$7:$DG$29,$C$34,0)</f>
        <v>3</v>
      </c>
      <c r="R18" s="119">
        <f>VLOOKUP(D18,GBOC!$E$7:$DG$29,$C$36,0)</f>
        <v>1</v>
      </c>
      <c r="S18" s="119">
        <f>VLOOKUP(D18,GBOC!$E$7:$DG$29,$C$37,0)</f>
        <v>0</v>
      </c>
      <c r="T18" s="82"/>
    </row>
    <row r="19" spans="1:20" ht="21.5" customHeight="1" x14ac:dyDescent="0.45">
      <c r="A19" s="113">
        <v>14</v>
      </c>
      <c r="B19" s="92" t="s">
        <v>19</v>
      </c>
      <c r="C19" s="94" t="s">
        <v>118</v>
      </c>
      <c r="D19" s="105" t="s">
        <v>119</v>
      </c>
      <c r="E19" s="91" t="s">
        <v>129</v>
      </c>
      <c r="F19" s="119">
        <f>VLOOKUP(D19,GBOC!$E$7:$DG$29,$C$23,0)</f>
        <v>7</v>
      </c>
      <c r="G19" s="119">
        <f>VLOOKUP(D19,GBOC!$E$7:$DG$29,$C$24,0)</f>
        <v>4</v>
      </c>
      <c r="H19" s="119">
        <f>VLOOKUP(D19,GBOC!$E$7:$DG$29,$C$25,0)</f>
        <v>5</v>
      </c>
      <c r="I19" s="119">
        <f>VLOOKUP(D19,GBOC!$E$7:$DG$29,$C$26,0)</f>
        <v>4</v>
      </c>
      <c r="J19" s="119">
        <f>VLOOKUP(D19,GBOC!$E$7:$DG$29,$C$27,0)</f>
        <v>4</v>
      </c>
      <c r="K19" s="119">
        <f>VLOOKUP(D19,GBOC!$E$7:$DG$29,$C$28,0)</f>
        <v>1</v>
      </c>
      <c r="L19" s="119">
        <f>VLOOKUP(D19,GBOC!$E$7:$DG$29,$C$29,0)</f>
        <v>60</v>
      </c>
      <c r="M19" s="119">
        <f>VLOOKUP(D19,GBOC!$E$7:$DG$29,$C$30,0)</f>
        <v>8</v>
      </c>
      <c r="N19" s="119">
        <f>VLOOKUP(D19,GBOC!$E$7:$DG$29,$C$31,0)</f>
        <v>4</v>
      </c>
      <c r="O19" s="119">
        <f>VLOOKUP(D19,GBOC!$E$7:$DG$29,$C$32,0)</f>
        <v>5</v>
      </c>
      <c r="P19" s="93">
        <v>0.97</v>
      </c>
      <c r="Q19" s="119">
        <f>VLOOKUP(D19,GBOC!$E$7:$DG$29,$C$34,0)</f>
        <v>3</v>
      </c>
      <c r="R19" s="119">
        <f>VLOOKUP(D19,GBOC!$E$7:$DG$29,$C$36,0)</f>
        <v>1</v>
      </c>
      <c r="S19" s="119">
        <f>VLOOKUP(D19,GBOC!$E$7:$DG$29,$C$37,0)</f>
        <v>0</v>
      </c>
      <c r="T19" s="82"/>
    </row>
    <row r="20" spans="1:20" s="1" customFormat="1" ht="21.5" customHeight="1" x14ac:dyDescent="0.45">
      <c r="A20" s="113">
        <v>15</v>
      </c>
      <c r="B20" s="92" t="s">
        <v>33</v>
      </c>
      <c r="C20" s="94" t="s">
        <v>120</v>
      </c>
      <c r="D20" s="105" t="s">
        <v>121</v>
      </c>
      <c r="E20" s="90" t="s">
        <v>179</v>
      </c>
      <c r="F20" s="119">
        <f>VLOOKUP(D20,GBOC!$E$7:$DG$29,$C$23,0)</f>
        <v>3</v>
      </c>
      <c r="G20" s="119">
        <f>VLOOKUP(D20,GBOC!$E$7:$DG$29,$C$24,0)</f>
        <v>2</v>
      </c>
      <c r="H20" s="119">
        <f>VLOOKUP(D20,GBOC!$E$7:$DG$29,$C$25,0)</f>
        <v>2</v>
      </c>
      <c r="I20" s="119">
        <f>VLOOKUP(D20,GBOC!$E$7:$DG$29,$C$26,0)</f>
        <v>3</v>
      </c>
      <c r="J20" s="119">
        <f>VLOOKUP(D20,GBOC!$E$7:$DG$29,$C$27,0)</f>
        <v>3</v>
      </c>
      <c r="K20" s="119">
        <f>VLOOKUP(D20,GBOC!$E$7:$DG$29,$C$28,0)</f>
        <v>1</v>
      </c>
      <c r="L20" s="119">
        <f>VLOOKUP(D20,GBOC!$E$7:$DG$29,$C$29,0)</f>
        <v>14</v>
      </c>
      <c r="M20" s="119">
        <f>VLOOKUP(D20,GBOC!$E$7:$DG$29,$C$30,0)</f>
        <v>5</v>
      </c>
      <c r="N20" s="119">
        <f>VLOOKUP(D20,GBOC!$E$7:$DG$29,$C$31,0)</f>
        <v>3</v>
      </c>
      <c r="O20" s="119">
        <f>VLOOKUP(D20,GBOC!$E$7:$DG$29,$C$32,0)</f>
        <v>3</v>
      </c>
      <c r="P20" s="93">
        <v>0.97</v>
      </c>
      <c r="Q20" s="119">
        <f>VLOOKUP(D20,GBOC!$E$7:$DG$29,$C$34,0)</f>
        <v>1</v>
      </c>
      <c r="R20" s="119">
        <f>VLOOKUP(D20,GBOC!$E$7:$DG$29,$C$36,0)</f>
        <v>1</v>
      </c>
      <c r="S20" s="119">
        <f>VLOOKUP(D20,GBOC!$E$7:$DG$29,$C$37,0)</f>
        <v>0</v>
      </c>
      <c r="T20" s="82"/>
    </row>
    <row r="23" spans="1:20" ht="19.25" customHeight="1" x14ac:dyDescent="0.45">
      <c r="A23" s="101" t="s">
        <v>3</v>
      </c>
      <c r="B23" s="98" t="s">
        <v>233</v>
      </c>
      <c r="C23" s="98">
        <f t="shared" ref="C23:C32" si="0">B23-2</f>
        <v>5</v>
      </c>
    </row>
    <row r="24" spans="1:20" ht="19.25" customHeight="1" x14ac:dyDescent="0.45">
      <c r="A24" s="101" t="s">
        <v>40</v>
      </c>
      <c r="B24" s="99">
        <v>15</v>
      </c>
      <c r="C24" s="98">
        <f t="shared" si="0"/>
        <v>13</v>
      </c>
    </row>
    <row r="25" spans="1:20" ht="30" customHeight="1" x14ac:dyDescent="0.45">
      <c r="A25" s="101" t="s">
        <v>41</v>
      </c>
      <c r="B25" s="99">
        <v>55</v>
      </c>
      <c r="C25" s="98">
        <f t="shared" si="0"/>
        <v>53</v>
      </c>
    </row>
    <row r="26" spans="1:20" ht="19.25" customHeight="1" x14ac:dyDescent="0.45">
      <c r="A26" s="23" t="s">
        <v>42</v>
      </c>
      <c r="B26" s="99">
        <v>87</v>
      </c>
      <c r="C26" s="98">
        <f t="shared" si="0"/>
        <v>85</v>
      </c>
    </row>
    <row r="27" spans="1:20" ht="19.25" customHeight="1" x14ac:dyDescent="0.45">
      <c r="A27" s="102" t="s">
        <v>43</v>
      </c>
      <c r="B27" s="100">
        <v>95</v>
      </c>
      <c r="C27" s="98">
        <f t="shared" si="0"/>
        <v>93</v>
      </c>
    </row>
    <row r="28" spans="1:20" ht="19.25" customHeight="1" x14ac:dyDescent="0.45">
      <c r="A28" s="102" t="s">
        <v>45</v>
      </c>
      <c r="B28" s="97">
        <v>103</v>
      </c>
      <c r="C28" s="98">
        <f t="shared" si="0"/>
        <v>101</v>
      </c>
    </row>
    <row r="29" spans="1:20" ht="19.25" customHeight="1" x14ac:dyDescent="0.45">
      <c r="A29" s="102" t="s">
        <v>47</v>
      </c>
      <c r="B29" s="97">
        <v>47</v>
      </c>
      <c r="C29" s="98">
        <f t="shared" si="0"/>
        <v>45</v>
      </c>
    </row>
    <row r="30" spans="1:20" ht="19.25" customHeight="1" x14ac:dyDescent="0.45">
      <c r="A30" s="102" t="s">
        <v>48</v>
      </c>
      <c r="B30" s="97">
        <v>79</v>
      </c>
      <c r="C30" s="98">
        <f t="shared" si="0"/>
        <v>77</v>
      </c>
    </row>
    <row r="31" spans="1:20" ht="19.25" customHeight="1" x14ac:dyDescent="0.45">
      <c r="A31" s="97" t="s">
        <v>51</v>
      </c>
      <c r="B31" s="97">
        <v>39</v>
      </c>
      <c r="C31" s="98">
        <f t="shared" si="0"/>
        <v>37</v>
      </c>
    </row>
    <row r="32" spans="1:20" ht="19.25" customHeight="1" x14ac:dyDescent="0.45">
      <c r="A32" s="97" t="s">
        <v>14</v>
      </c>
      <c r="B32" s="97">
        <v>31</v>
      </c>
      <c r="C32" s="98">
        <f t="shared" si="0"/>
        <v>29</v>
      </c>
    </row>
    <row r="33" spans="1:3" ht="19.25" customHeight="1" x14ac:dyDescent="0.45">
      <c r="A33" s="97" t="s">
        <v>52</v>
      </c>
      <c r="B33" s="97"/>
      <c r="C33" s="98"/>
    </row>
    <row r="34" spans="1:3" ht="19.25" customHeight="1" x14ac:dyDescent="0.45">
      <c r="A34" s="97" t="s">
        <v>16</v>
      </c>
      <c r="B34" s="97">
        <v>23</v>
      </c>
      <c r="C34" s="98">
        <f>B34-2</f>
        <v>21</v>
      </c>
    </row>
    <row r="35" spans="1:3" ht="19.25" customHeight="1" x14ac:dyDescent="0.45">
      <c r="A35" s="97" t="s">
        <v>53</v>
      </c>
      <c r="B35" s="97"/>
      <c r="C35" s="98"/>
    </row>
    <row r="36" spans="1:3" ht="19.25" customHeight="1" x14ac:dyDescent="0.45">
      <c r="A36" s="97" t="s">
        <v>54</v>
      </c>
      <c r="B36" s="97">
        <v>71</v>
      </c>
      <c r="C36" s="98">
        <f>B36-2</f>
        <v>69</v>
      </c>
    </row>
    <row r="37" spans="1:3" ht="19.25" customHeight="1" x14ac:dyDescent="0.45">
      <c r="A37" s="97" t="s">
        <v>55</v>
      </c>
      <c r="B37" s="97">
        <v>63</v>
      </c>
      <c r="C37" s="98">
        <f>B37-2</f>
        <v>61</v>
      </c>
    </row>
  </sheetData>
  <mergeCells count="16">
    <mergeCell ref="B3:B4"/>
    <mergeCell ref="G3:G4"/>
    <mergeCell ref="H3:H4"/>
    <mergeCell ref="L3:L4"/>
    <mergeCell ref="M3:M4"/>
    <mergeCell ref="I3:I4"/>
    <mergeCell ref="J3:J4"/>
    <mergeCell ref="K3:K4"/>
    <mergeCell ref="F3:F4"/>
    <mergeCell ref="E3:E4"/>
    <mergeCell ref="N3:N4"/>
    <mergeCell ref="S3:S4"/>
    <mergeCell ref="O3:O4"/>
    <mergeCell ref="P3:P4"/>
    <mergeCell ref="Q3:Q4"/>
    <mergeCell ref="R3:R4"/>
  </mergeCells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1"/>
  <sheetViews>
    <sheetView zoomScaleNormal="100" workbookViewId="0">
      <selection activeCell="B3" sqref="B3:F23"/>
    </sheetView>
  </sheetViews>
  <sheetFormatPr defaultColWidth="9" defaultRowHeight="14.25" x14ac:dyDescent="0.45"/>
  <cols>
    <col min="1" max="3" width="27.19921875" customWidth="1"/>
    <col min="4" max="4" width="9.1328125" customWidth="1"/>
    <col min="5" max="5" width="10" style="17" customWidth="1"/>
    <col min="6" max="6" width="8.46484375" style="17" customWidth="1"/>
  </cols>
  <sheetData>
    <row r="1" spans="1:6" ht="41.25" customHeight="1" x14ac:dyDescent="0.45">
      <c r="A1" s="228" t="s">
        <v>204</v>
      </c>
      <c r="B1" s="228" t="s">
        <v>168</v>
      </c>
      <c r="C1" s="228" t="s">
        <v>169</v>
      </c>
      <c r="D1" s="230" t="s">
        <v>1</v>
      </c>
      <c r="E1" s="230" t="s">
        <v>205</v>
      </c>
      <c r="F1" s="230" t="s">
        <v>206</v>
      </c>
    </row>
    <row r="2" spans="1:6" x14ac:dyDescent="0.45">
      <c r="A2" s="229"/>
      <c r="B2" s="229"/>
      <c r="C2" s="229"/>
      <c r="D2" s="231"/>
      <c r="E2" s="231"/>
      <c r="F2" s="231"/>
    </row>
    <row r="3" spans="1:6" s="1" customFormat="1" ht="15.4" x14ac:dyDescent="0.45">
      <c r="A3" s="132" t="s">
        <v>66</v>
      </c>
      <c r="B3" s="132" t="s">
        <v>199</v>
      </c>
      <c r="C3" s="132" t="s">
        <v>128</v>
      </c>
      <c r="D3" s="133">
        <v>15</v>
      </c>
      <c r="E3" s="134">
        <v>18</v>
      </c>
      <c r="F3" s="135">
        <v>1.2</v>
      </c>
    </row>
    <row r="4" spans="1:6" ht="15.4" x14ac:dyDescent="0.45">
      <c r="A4" s="132" t="s">
        <v>68</v>
      </c>
      <c r="B4" s="132" t="s">
        <v>178</v>
      </c>
      <c r="C4" s="132" t="s">
        <v>179</v>
      </c>
      <c r="D4" s="133">
        <v>15</v>
      </c>
      <c r="E4" s="134">
        <v>20</v>
      </c>
      <c r="F4" s="135">
        <v>1.3333333333333333</v>
      </c>
    </row>
    <row r="5" spans="1:6" ht="15.4" x14ac:dyDescent="0.45">
      <c r="A5" s="132" t="s">
        <v>71</v>
      </c>
      <c r="B5" s="132" t="s">
        <v>180</v>
      </c>
      <c r="C5" s="132" t="s">
        <v>129</v>
      </c>
      <c r="D5" s="133">
        <v>15</v>
      </c>
      <c r="E5" s="134">
        <v>7</v>
      </c>
      <c r="F5" s="135">
        <v>0.46666666666666667</v>
      </c>
    </row>
    <row r="6" spans="1:6" ht="15.4" x14ac:dyDescent="0.45">
      <c r="A6" s="132" t="s">
        <v>74</v>
      </c>
      <c r="B6" s="132" t="s">
        <v>181</v>
      </c>
      <c r="C6" s="132" t="s">
        <v>129</v>
      </c>
      <c r="D6" s="133">
        <v>15</v>
      </c>
      <c r="E6" s="134">
        <v>10</v>
      </c>
      <c r="F6" s="135">
        <v>0.66666666666666663</v>
      </c>
    </row>
    <row r="7" spans="1:6" ht="15.4" x14ac:dyDescent="0.45">
      <c r="A7" s="132" t="s">
        <v>77</v>
      </c>
      <c r="B7" s="132" t="s">
        <v>182</v>
      </c>
      <c r="C7" s="132" t="s">
        <v>129</v>
      </c>
      <c r="D7" s="133">
        <v>9</v>
      </c>
      <c r="E7" s="134">
        <v>2</v>
      </c>
      <c r="F7" s="135">
        <v>0.22222222222222221</v>
      </c>
    </row>
    <row r="8" spans="1:6" ht="15.4" x14ac:dyDescent="0.45">
      <c r="A8" s="132" t="s">
        <v>80</v>
      </c>
      <c r="B8" s="132" t="s">
        <v>183</v>
      </c>
      <c r="C8" s="132" t="s">
        <v>179</v>
      </c>
      <c r="D8" s="133">
        <v>15</v>
      </c>
      <c r="E8" s="134">
        <v>14</v>
      </c>
      <c r="F8" s="135">
        <v>0.93333333333333335</v>
      </c>
    </row>
    <row r="9" spans="1:6" ht="15.4" x14ac:dyDescent="0.45">
      <c r="A9" s="132" t="s">
        <v>83</v>
      </c>
      <c r="B9" s="132" t="s">
        <v>184</v>
      </c>
      <c r="C9" s="132" t="s">
        <v>129</v>
      </c>
      <c r="D9" s="133">
        <v>9</v>
      </c>
      <c r="E9" s="134">
        <v>3</v>
      </c>
      <c r="F9" s="135">
        <v>0.33333333333333331</v>
      </c>
    </row>
    <row r="10" spans="1:6" ht="15.4" x14ac:dyDescent="0.45">
      <c r="A10" s="132" t="s">
        <v>86</v>
      </c>
      <c r="B10" s="132" t="s">
        <v>185</v>
      </c>
      <c r="C10" s="132" t="s">
        <v>128</v>
      </c>
      <c r="D10" s="133">
        <v>13</v>
      </c>
      <c r="E10" s="134">
        <v>7</v>
      </c>
      <c r="F10" s="135">
        <v>0.53846153846153844</v>
      </c>
    </row>
    <row r="11" spans="1:6" ht="15.4" x14ac:dyDescent="0.45">
      <c r="A11" s="132" t="s">
        <v>89</v>
      </c>
      <c r="B11" s="132" t="s">
        <v>186</v>
      </c>
      <c r="C11" s="132" t="s">
        <v>179</v>
      </c>
      <c r="D11" s="133">
        <v>20</v>
      </c>
      <c r="E11" s="134">
        <v>35</v>
      </c>
      <c r="F11" s="135">
        <v>1.75</v>
      </c>
    </row>
    <row r="12" spans="1:6" ht="15.4" x14ac:dyDescent="0.45">
      <c r="A12" s="132" t="s">
        <v>92</v>
      </c>
      <c r="B12" s="132" t="s">
        <v>187</v>
      </c>
      <c r="C12" s="132" t="s">
        <v>128</v>
      </c>
      <c r="D12" s="133">
        <v>13</v>
      </c>
      <c r="E12" s="134">
        <v>12</v>
      </c>
      <c r="F12" s="135">
        <v>0.92307692307692313</v>
      </c>
    </row>
    <row r="13" spans="1:6" ht="15.4" x14ac:dyDescent="0.45">
      <c r="A13" s="132" t="s">
        <v>98</v>
      </c>
      <c r="B13" s="132" t="s">
        <v>188</v>
      </c>
      <c r="C13" s="132" t="s">
        <v>128</v>
      </c>
      <c r="D13" s="133">
        <v>13</v>
      </c>
      <c r="E13" s="134">
        <v>15</v>
      </c>
      <c r="F13" s="135">
        <v>1.1538461538461537</v>
      </c>
    </row>
    <row r="14" spans="1:6" ht="15.4" x14ac:dyDescent="0.45">
      <c r="A14" s="132" t="s">
        <v>101</v>
      </c>
      <c r="B14" s="132" t="s">
        <v>189</v>
      </c>
      <c r="C14" s="132" t="s">
        <v>179</v>
      </c>
      <c r="D14" s="133">
        <v>15</v>
      </c>
      <c r="E14" s="134">
        <v>18</v>
      </c>
      <c r="F14" s="135">
        <v>1.2</v>
      </c>
    </row>
    <row r="15" spans="1:6" ht="15.4" x14ac:dyDescent="0.45">
      <c r="A15" s="132" t="s">
        <v>104</v>
      </c>
      <c r="B15" s="132" t="s">
        <v>190</v>
      </c>
      <c r="C15" s="132" t="s">
        <v>179</v>
      </c>
      <c r="D15" s="133">
        <v>15</v>
      </c>
      <c r="E15" s="134">
        <v>17</v>
      </c>
      <c r="F15" s="135">
        <v>1.1333333333333333</v>
      </c>
    </row>
    <row r="16" spans="1:6" ht="15.4" x14ac:dyDescent="0.45">
      <c r="A16" s="132" t="s">
        <v>106</v>
      </c>
      <c r="B16" s="132" t="s">
        <v>191</v>
      </c>
      <c r="C16" s="132" t="s">
        <v>129</v>
      </c>
      <c r="D16" s="133">
        <v>15</v>
      </c>
      <c r="E16" s="134">
        <v>17</v>
      </c>
      <c r="F16" s="135">
        <v>1.1333333333333333</v>
      </c>
    </row>
    <row r="17" spans="1:6" ht="15.4" x14ac:dyDescent="0.45">
      <c r="A17" s="132" t="s">
        <v>109</v>
      </c>
      <c r="B17" s="132" t="s">
        <v>192</v>
      </c>
      <c r="C17" s="132" t="s">
        <v>128</v>
      </c>
      <c r="D17" s="133">
        <v>13</v>
      </c>
      <c r="E17" s="134">
        <v>5</v>
      </c>
      <c r="F17" s="135">
        <v>0.38461538461538464</v>
      </c>
    </row>
    <row r="18" spans="1:6" ht="15.4" x14ac:dyDescent="0.45">
      <c r="A18" s="132" t="s">
        <v>112</v>
      </c>
      <c r="B18" s="132" t="s">
        <v>193</v>
      </c>
      <c r="C18" s="132" t="s">
        <v>129</v>
      </c>
      <c r="D18" s="133">
        <v>15</v>
      </c>
      <c r="E18" s="134">
        <v>7</v>
      </c>
      <c r="F18" s="135">
        <v>0.46666666666666667</v>
      </c>
    </row>
    <row r="19" spans="1:6" ht="15.4" x14ac:dyDescent="0.45">
      <c r="A19" s="132" t="s">
        <v>114</v>
      </c>
      <c r="B19" s="132" t="s">
        <v>194</v>
      </c>
      <c r="C19" s="132" t="s">
        <v>179</v>
      </c>
      <c r="D19" s="133">
        <v>13</v>
      </c>
      <c r="E19" s="134">
        <v>9</v>
      </c>
      <c r="F19" s="135">
        <v>0.69230769230769229</v>
      </c>
    </row>
    <row r="20" spans="1:6" ht="15.4" x14ac:dyDescent="0.45">
      <c r="A20" s="132" t="s">
        <v>116</v>
      </c>
      <c r="B20" s="132" t="s">
        <v>195</v>
      </c>
      <c r="C20" s="132" t="s">
        <v>129</v>
      </c>
      <c r="D20" s="133">
        <v>15</v>
      </c>
      <c r="E20" s="134">
        <v>18</v>
      </c>
      <c r="F20" s="135">
        <v>1.2</v>
      </c>
    </row>
    <row r="21" spans="1:6" ht="15.4" x14ac:dyDescent="0.45">
      <c r="A21" s="132" t="s">
        <v>118</v>
      </c>
      <c r="B21" s="132" t="s">
        <v>196</v>
      </c>
      <c r="C21" s="132" t="s">
        <v>129</v>
      </c>
      <c r="D21" s="133">
        <v>15</v>
      </c>
      <c r="E21" s="134">
        <v>16</v>
      </c>
      <c r="F21" s="135">
        <v>1.0666666666666667</v>
      </c>
    </row>
    <row r="22" spans="1:6" ht="15.4" x14ac:dyDescent="0.45">
      <c r="A22" s="132" t="s">
        <v>120</v>
      </c>
      <c r="B22" s="132" t="s">
        <v>197</v>
      </c>
      <c r="C22" s="132" t="s">
        <v>179</v>
      </c>
      <c r="D22" s="133">
        <v>15</v>
      </c>
      <c r="E22" s="134">
        <v>16</v>
      </c>
      <c r="F22" s="135">
        <v>1.0666666666666667</v>
      </c>
    </row>
    <row r="23" spans="1:6" ht="15.4" x14ac:dyDescent="0.45">
      <c r="A23" s="132" t="s">
        <v>122</v>
      </c>
      <c r="B23" s="132" t="s">
        <v>198</v>
      </c>
      <c r="C23" s="132" t="s">
        <v>179</v>
      </c>
      <c r="D23" s="133">
        <v>3</v>
      </c>
      <c r="E23" s="134">
        <v>7</v>
      </c>
      <c r="F23" s="135">
        <v>2.3333333333333335</v>
      </c>
    </row>
    <row r="24" spans="1:6" s="1" customFormat="1" ht="15.4" x14ac:dyDescent="0.45">
      <c r="A24" s="92" t="s">
        <v>63</v>
      </c>
      <c r="B24" s="105" t="s">
        <v>64</v>
      </c>
      <c r="C24" s="128" t="s">
        <v>129</v>
      </c>
      <c r="D24" s="108">
        <v>0</v>
      </c>
      <c r="E24" s="131">
        <v>0</v>
      </c>
      <c r="F24" s="129"/>
    </row>
    <row r="25" spans="1:6" s="1" customFormat="1" ht="15.4" x14ac:dyDescent="0.45">
      <c r="A25" s="94" t="s">
        <v>95</v>
      </c>
      <c r="B25" s="105" t="s">
        <v>96</v>
      </c>
      <c r="C25" s="128" t="s">
        <v>128</v>
      </c>
      <c r="D25" s="106">
        <v>0</v>
      </c>
      <c r="E25" s="1">
        <v>0</v>
      </c>
      <c r="F25" s="129">
        <f>D25-E25</f>
        <v>0</v>
      </c>
    </row>
    <row r="26" spans="1:6" ht="15.4" x14ac:dyDescent="0.45">
      <c r="A26" s="94" t="s">
        <v>207</v>
      </c>
      <c r="B26" s="130"/>
      <c r="C26" s="130"/>
      <c r="D26" s="106">
        <v>13</v>
      </c>
      <c r="E26" s="1">
        <v>18</v>
      </c>
      <c r="F26" s="129">
        <f>D26-E26</f>
        <v>-5</v>
      </c>
    </row>
    <row r="29" spans="1:6" x14ac:dyDescent="0.45">
      <c r="A29" s="107"/>
      <c r="B29" s="107"/>
      <c r="C29" s="107"/>
      <c r="D29" s="115"/>
      <c r="E29" s="34"/>
      <c r="F29" s="34"/>
    </row>
    <row r="30" spans="1:6" x14ac:dyDescent="0.45">
      <c r="A30" s="107"/>
      <c r="B30" s="107"/>
      <c r="C30" s="107"/>
      <c r="D30" s="115"/>
      <c r="E30" s="34"/>
      <c r="F30" s="34"/>
    </row>
    <row r="31" spans="1:6" x14ac:dyDescent="0.45">
      <c r="A31" s="107"/>
      <c r="B31" s="107"/>
      <c r="C31" s="107"/>
      <c r="D31" s="115"/>
      <c r="E31" s="34"/>
      <c r="F31" s="34"/>
    </row>
  </sheetData>
  <autoFilter ref="A1:F1" xr:uid="{00000000-0009-0000-0000-000007000000}"/>
  <mergeCells count="6">
    <mergeCell ref="A1:A2"/>
    <mergeCell ref="D1:D2"/>
    <mergeCell ref="E1:E2"/>
    <mergeCell ref="F1:F2"/>
    <mergeCell ref="B1:B2"/>
    <mergeCell ref="C1:C2"/>
  </mergeCells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20"/>
  <sheetViews>
    <sheetView zoomScale="80" zoomScaleNormal="80" workbookViewId="0">
      <selection activeCell="E30" sqref="E30"/>
    </sheetView>
  </sheetViews>
  <sheetFormatPr defaultColWidth="9" defaultRowHeight="14.25" x14ac:dyDescent="0.45"/>
  <cols>
    <col min="2" max="2" width="58.796875" customWidth="1"/>
    <col min="3" max="3" width="12.1328125" customWidth="1"/>
    <col min="4" max="4" width="11.19921875" customWidth="1"/>
    <col min="5" max="11" width="12.1328125" customWidth="1"/>
    <col min="13" max="13" width="24.86328125" customWidth="1"/>
    <col min="14" max="14" width="6.86328125" style="34" customWidth="1"/>
    <col min="15" max="15" width="5.86328125" customWidth="1"/>
    <col min="16" max="16" width="6.86328125" customWidth="1"/>
    <col min="17" max="17" width="0" hidden="1" customWidth="1"/>
    <col min="19" max="19" width="6.86328125" customWidth="1"/>
    <col min="20" max="20" width="8" customWidth="1"/>
    <col min="22" max="22" width="0" hidden="1" customWidth="1"/>
    <col min="24" max="24" width="8" customWidth="1"/>
  </cols>
  <sheetData>
    <row r="1" spans="1:48" ht="14.25" customHeight="1" x14ac:dyDescent="0.45">
      <c r="A1" s="235" t="s">
        <v>209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M1" s="238" t="s">
        <v>210</v>
      </c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8"/>
    </row>
    <row r="2" spans="1:48" ht="24.5" customHeight="1" x14ac:dyDescent="0.45">
      <c r="A2" s="236"/>
      <c r="B2" s="236"/>
      <c r="C2" s="236"/>
      <c r="D2" s="236"/>
      <c r="E2" s="236"/>
      <c r="F2" s="236"/>
      <c r="G2" s="236"/>
      <c r="H2" s="236"/>
      <c r="I2" s="236"/>
      <c r="J2" s="236"/>
      <c r="K2" s="236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</row>
    <row r="3" spans="1:48" ht="26.25" customHeight="1" x14ac:dyDescent="0.45">
      <c r="A3" s="232" t="s">
        <v>0</v>
      </c>
      <c r="B3" s="233" t="s">
        <v>5</v>
      </c>
      <c r="C3" s="28" t="s">
        <v>3</v>
      </c>
      <c r="D3" s="28" t="s">
        <v>211</v>
      </c>
      <c r="E3" s="28" t="s">
        <v>212</v>
      </c>
      <c r="F3" s="28" t="s">
        <v>213</v>
      </c>
      <c r="G3" s="28" t="s">
        <v>214</v>
      </c>
      <c r="H3" s="28" t="s">
        <v>215</v>
      </c>
      <c r="I3" s="28" t="s">
        <v>216</v>
      </c>
      <c r="J3" s="28" t="s">
        <v>217</v>
      </c>
      <c r="K3" s="28" t="s">
        <v>218</v>
      </c>
      <c r="M3" s="237" t="s">
        <v>34</v>
      </c>
      <c r="N3" s="183" t="s">
        <v>219</v>
      </c>
      <c r="O3" s="184"/>
      <c r="P3" s="184"/>
      <c r="Q3" s="184"/>
      <c r="R3" s="240" t="s">
        <v>220</v>
      </c>
      <c r="S3" s="183" t="s">
        <v>221</v>
      </c>
      <c r="T3" s="184"/>
      <c r="U3" s="184"/>
      <c r="V3" s="184"/>
      <c r="W3" s="240" t="s">
        <v>220</v>
      </c>
      <c r="X3" s="186" t="s">
        <v>41</v>
      </c>
      <c r="Y3" s="187"/>
      <c r="Z3" s="187"/>
      <c r="AA3" s="240" t="s">
        <v>220</v>
      </c>
      <c r="AB3" s="65"/>
      <c r="AC3" s="183" t="s">
        <v>42</v>
      </c>
      <c r="AD3" s="184"/>
      <c r="AE3" s="184"/>
      <c r="AF3" s="184"/>
      <c r="AG3" s="183" t="s">
        <v>43</v>
      </c>
      <c r="AH3" s="184"/>
      <c r="AI3" s="184"/>
      <c r="AJ3" s="184"/>
      <c r="AK3" s="183" t="s">
        <v>44</v>
      </c>
      <c r="AL3" s="184"/>
      <c r="AM3" s="184"/>
      <c r="AN3" s="184"/>
      <c r="AO3" s="183" t="s">
        <v>46</v>
      </c>
      <c r="AP3" s="184"/>
      <c r="AQ3" s="184"/>
      <c r="AR3" s="184"/>
      <c r="AS3" s="183" t="s">
        <v>47</v>
      </c>
      <c r="AT3" s="184"/>
      <c r="AU3" s="184"/>
      <c r="AV3" s="184"/>
    </row>
    <row r="4" spans="1:48" ht="22.25" customHeight="1" x14ac:dyDescent="0.45">
      <c r="A4" s="232"/>
      <c r="B4" s="234"/>
      <c r="C4" s="24">
        <f t="shared" ref="C4:K4" si="0">SUM(C5:C19)</f>
        <v>15</v>
      </c>
      <c r="D4" s="24">
        <f t="shared" si="0"/>
        <v>29</v>
      </c>
      <c r="E4" s="24">
        <f t="shared" si="0"/>
        <v>18</v>
      </c>
      <c r="F4" s="24">
        <f t="shared" si="0"/>
        <v>29</v>
      </c>
      <c r="G4" s="24">
        <f t="shared" si="0"/>
        <v>96</v>
      </c>
      <c r="H4" s="24">
        <f t="shared" si="0"/>
        <v>117</v>
      </c>
      <c r="I4" s="24">
        <f t="shared" si="0"/>
        <v>35</v>
      </c>
      <c r="J4" s="24">
        <f t="shared" si="0"/>
        <v>29</v>
      </c>
      <c r="K4" s="24">
        <f t="shared" si="0"/>
        <v>134</v>
      </c>
      <c r="M4" s="237"/>
      <c r="N4" s="8" t="s">
        <v>2</v>
      </c>
      <c r="O4" s="9" t="s">
        <v>58</v>
      </c>
      <c r="P4" s="9" t="s">
        <v>4</v>
      </c>
      <c r="Q4" s="45" t="s">
        <v>59</v>
      </c>
      <c r="R4" s="241"/>
      <c r="S4" s="8" t="s">
        <v>2</v>
      </c>
      <c r="T4" s="9" t="s">
        <v>58</v>
      </c>
      <c r="U4" s="31" t="s">
        <v>4</v>
      </c>
      <c r="V4" s="45" t="s">
        <v>59</v>
      </c>
      <c r="W4" s="241"/>
      <c r="X4" s="8" t="s">
        <v>2</v>
      </c>
      <c r="Y4" s="9" t="s">
        <v>58</v>
      </c>
      <c r="Z4" s="9" t="s">
        <v>4</v>
      </c>
      <c r="AA4" s="241"/>
      <c r="AB4" s="45" t="s">
        <v>59</v>
      </c>
      <c r="AC4" s="8" t="s">
        <v>2</v>
      </c>
      <c r="AD4" s="9" t="s">
        <v>58</v>
      </c>
      <c r="AE4" s="9" t="s">
        <v>4</v>
      </c>
      <c r="AF4" s="45" t="s">
        <v>59</v>
      </c>
      <c r="AG4" s="8" t="s">
        <v>2</v>
      </c>
      <c r="AH4" s="9" t="s">
        <v>58</v>
      </c>
      <c r="AI4" s="31" t="s">
        <v>4</v>
      </c>
      <c r="AJ4" s="10" t="s">
        <v>59</v>
      </c>
      <c r="AK4" s="8" t="s">
        <v>2</v>
      </c>
      <c r="AL4" s="9" t="s">
        <v>58</v>
      </c>
      <c r="AM4" s="31" t="s">
        <v>4</v>
      </c>
      <c r="AN4" s="45" t="s">
        <v>59</v>
      </c>
      <c r="AO4" s="22" t="s">
        <v>2</v>
      </c>
      <c r="AP4" s="9" t="s">
        <v>58</v>
      </c>
      <c r="AQ4" s="31" t="s">
        <v>4</v>
      </c>
      <c r="AR4" s="45" t="s">
        <v>59</v>
      </c>
      <c r="AS4" s="22" t="s">
        <v>2</v>
      </c>
      <c r="AT4" s="9" t="s">
        <v>58</v>
      </c>
      <c r="AU4" s="31" t="s">
        <v>4</v>
      </c>
      <c r="AV4" s="45" t="s">
        <v>59</v>
      </c>
    </row>
    <row r="5" spans="1:48" ht="19.899999999999999" x14ac:dyDescent="0.45">
      <c r="A5" s="27">
        <v>1</v>
      </c>
      <c r="B5" s="25" t="s">
        <v>65</v>
      </c>
      <c r="C5" s="7">
        <v>1</v>
      </c>
      <c r="D5" s="20">
        <v>3</v>
      </c>
      <c r="E5" s="7">
        <v>1</v>
      </c>
      <c r="F5" s="21">
        <v>2</v>
      </c>
      <c r="G5" s="7">
        <v>12</v>
      </c>
      <c r="H5" s="19">
        <v>1</v>
      </c>
      <c r="I5" s="19">
        <v>2</v>
      </c>
      <c r="J5" s="19">
        <v>2</v>
      </c>
      <c r="K5" s="19">
        <v>10</v>
      </c>
      <c r="M5" s="53" t="s">
        <v>65</v>
      </c>
      <c r="N5" s="12">
        <v>9</v>
      </c>
      <c r="O5" s="58">
        <v>9</v>
      </c>
      <c r="P5" s="14">
        <v>1</v>
      </c>
      <c r="Q5" s="46">
        <f t="shared" ref="Q5:Q20" si="1">O5-N5</f>
        <v>0</v>
      </c>
      <c r="R5" s="64"/>
      <c r="S5" s="51">
        <v>30</v>
      </c>
      <c r="T5" s="13">
        <v>31</v>
      </c>
      <c r="U5" s="14">
        <v>1.0333333333333334</v>
      </c>
      <c r="V5" s="46">
        <v>-1</v>
      </c>
      <c r="W5" s="63"/>
      <c r="X5" s="12">
        <v>3</v>
      </c>
      <c r="Y5" s="13">
        <v>3</v>
      </c>
      <c r="Z5" s="29">
        <v>1</v>
      </c>
      <c r="AA5" s="63"/>
      <c r="AB5" s="46">
        <v>0</v>
      </c>
      <c r="AC5" s="52">
        <v>8</v>
      </c>
      <c r="AD5" s="13">
        <v>11</v>
      </c>
      <c r="AE5" s="14">
        <v>1.375</v>
      </c>
      <c r="AF5" s="46">
        <v>-3</v>
      </c>
      <c r="AG5" s="52">
        <v>2</v>
      </c>
      <c r="AH5" s="13">
        <v>2</v>
      </c>
      <c r="AI5" s="14">
        <v>1</v>
      </c>
      <c r="AJ5" s="44">
        <v>0</v>
      </c>
      <c r="AK5" s="12">
        <v>85</v>
      </c>
      <c r="AL5" s="13">
        <v>118</v>
      </c>
      <c r="AM5" s="14">
        <v>1.388235294117647</v>
      </c>
      <c r="AN5" s="46">
        <v>-33</v>
      </c>
      <c r="AO5" s="51">
        <v>30</v>
      </c>
      <c r="AP5" s="13">
        <v>31</v>
      </c>
      <c r="AQ5" s="14">
        <v>1.0333333333333334</v>
      </c>
      <c r="AR5" s="46">
        <v>-1</v>
      </c>
      <c r="AS5" s="51" t="e">
        <f>'Giao CT'!#REF!</f>
        <v>#REF!</v>
      </c>
      <c r="AT5" s="13" t="e">
        <f>VLOOKUP($B$5:$B$20,#REF!,68,0)</f>
        <v>#REF!</v>
      </c>
      <c r="AU5" s="14">
        <f t="shared" ref="AU5:AU20" si="2">IFERROR(AT5/AS5,0)</f>
        <v>0</v>
      </c>
      <c r="AV5" s="46" t="e">
        <f t="shared" ref="AV5:AV20" si="3">AS5-AT5</f>
        <v>#REF!</v>
      </c>
    </row>
    <row r="6" spans="1:48" ht="19.899999999999999" x14ac:dyDescent="0.45">
      <c r="A6" s="27">
        <v>2</v>
      </c>
      <c r="B6" s="25" t="s">
        <v>70</v>
      </c>
      <c r="C6" s="7">
        <v>1</v>
      </c>
      <c r="D6" s="20">
        <v>1</v>
      </c>
      <c r="E6" s="7">
        <v>2</v>
      </c>
      <c r="F6" s="21">
        <v>1</v>
      </c>
      <c r="G6" s="7">
        <v>3</v>
      </c>
      <c r="H6" s="19">
        <v>2</v>
      </c>
      <c r="I6" s="19">
        <v>2</v>
      </c>
      <c r="J6" s="19">
        <v>2</v>
      </c>
      <c r="K6" s="19">
        <v>10</v>
      </c>
      <c r="M6" s="53" t="s">
        <v>70</v>
      </c>
      <c r="N6" s="12">
        <v>10</v>
      </c>
      <c r="O6" s="58">
        <v>13</v>
      </c>
      <c r="P6" s="14">
        <v>1.3</v>
      </c>
      <c r="Q6" s="46">
        <f t="shared" si="1"/>
        <v>3</v>
      </c>
      <c r="R6" s="64"/>
      <c r="S6" s="51">
        <v>30</v>
      </c>
      <c r="T6" s="13">
        <v>34</v>
      </c>
      <c r="U6" s="14">
        <v>1.1333333333333333</v>
      </c>
      <c r="V6" s="46">
        <v>-4</v>
      </c>
      <c r="W6" s="63"/>
      <c r="X6" s="12">
        <v>2</v>
      </c>
      <c r="Y6" s="58">
        <v>2</v>
      </c>
      <c r="Z6" s="29">
        <v>1</v>
      </c>
      <c r="AA6" s="63"/>
      <c r="AB6" s="46">
        <v>0</v>
      </c>
      <c r="AC6" s="52">
        <v>9</v>
      </c>
      <c r="AD6" s="13">
        <v>13</v>
      </c>
      <c r="AE6" s="14">
        <v>1.4444444444444444</v>
      </c>
      <c r="AF6" s="46">
        <v>-4</v>
      </c>
      <c r="AG6" s="52">
        <v>1</v>
      </c>
      <c r="AH6" s="13">
        <v>3</v>
      </c>
      <c r="AI6" s="14">
        <v>3</v>
      </c>
      <c r="AJ6" s="44">
        <v>-2</v>
      </c>
      <c r="AK6" s="12">
        <v>85</v>
      </c>
      <c r="AL6" s="13">
        <v>93</v>
      </c>
      <c r="AM6" s="14">
        <v>1.0941176470588236</v>
      </c>
      <c r="AN6" s="46">
        <v>-8</v>
      </c>
      <c r="AO6" s="51">
        <v>30</v>
      </c>
      <c r="AP6" s="13">
        <v>34</v>
      </c>
      <c r="AQ6" s="14">
        <v>1.1333333333333333</v>
      </c>
      <c r="AR6" s="46">
        <v>-4</v>
      </c>
      <c r="AS6" s="51" t="e">
        <f>'Giao CT'!#REF!</f>
        <v>#REF!</v>
      </c>
      <c r="AT6" s="13" t="e">
        <f>VLOOKUP($B$5:$B$20,#REF!,68,0)</f>
        <v>#REF!</v>
      </c>
      <c r="AU6" s="14">
        <f t="shared" si="2"/>
        <v>0</v>
      </c>
      <c r="AV6" s="46" t="e">
        <f t="shared" si="3"/>
        <v>#REF!</v>
      </c>
    </row>
    <row r="7" spans="1:48" ht="19.899999999999999" x14ac:dyDescent="0.45">
      <c r="A7" s="27">
        <v>3</v>
      </c>
      <c r="B7" s="25" t="s">
        <v>73</v>
      </c>
      <c r="C7" s="7">
        <v>1</v>
      </c>
      <c r="D7" s="20">
        <v>2</v>
      </c>
      <c r="E7" s="7">
        <v>2</v>
      </c>
      <c r="F7" s="21">
        <v>3</v>
      </c>
      <c r="G7" s="7">
        <v>12</v>
      </c>
      <c r="H7" s="19">
        <v>12</v>
      </c>
      <c r="I7" s="19">
        <v>2</v>
      </c>
      <c r="J7" s="19">
        <v>2</v>
      </c>
      <c r="K7" s="19">
        <v>10</v>
      </c>
      <c r="M7" s="53" t="s">
        <v>73</v>
      </c>
      <c r="N7" s="12">
        <v>9</v>
      </c>
      <c r="O7" s="58">
        <v>8</v>
      </c>
      <c r="P7" s="14">
        <v>0.88888888888888884</v>
      </c>
      <c r="Q7" s="46">
        <f t="shared" si="1"/>
        <v>-1</v>
      </c>
      <c r="R7" s="64"/>
      <c r="S7" s="51">
        <v>30</v>
      </c>
      <c r="T7" s="13">
        <v>18</v>
      </c>
      <c r="U7" s="14">
        <v>0.6</v>
      </c>
      <c r="V7" s="46">
        <v>12</v>
      </c>
      <c r="W7" s="63">
        <v>12</v>
      </c>
      <c r="X7" s="12">
        <v>3</v>
      </c>
      <c r="Y7" s="13">
        <v>2</v>
      </c>
      <c r="Z7" s="29">
        <v>0.66666666666666663</v>
      </c>
      <c r="AA7" s="63">
        <v>1</v>
      </c>
      <c r="AB7" s="46">
        <v>1</v>
      </c>
      <c r="AC7" s="52">
        <v>8</v>
      </c>
      <c r="AD7" s="13">
        <v>7</v>
      </c>
      <c r="AE7" s="14">
        <v>0.875</v>
      </c>
      <c r="AF7" s="46">
        <v>1</v>
      </c>
      <c r="AG7" s="52">
        <v>1</v>
      </c>
      <c r="AH7" s="13">
        <v>0</v>
      </c>
      <c r="AI7" s="14">
        <v>0</v>
      </c>
      <c r="AJ7" s="44">
        <v>1</v>
      </c>
      <c r="AK7" s="12">
        <v>85</v>
      </c>
      <c r="AL7" s="13">
        <v>84</v>
      </c>
      <c r="AM7" s="14">
        <v>0.9882352941176471</v>
      </c>
      <c r="AN7" s="46">
        <v>1</v>
      </c>
      <c r="AO7" s="51">
        <v>30</v>
      </c>
      <c r="AP7" s="13">
        <v>18</v>
      </c>
      <c r="AQ7" s="14">
        <v>0.6</v>
      </c>
      <c r="AR7" s="46">
        <v>12</v>
      </c>
      <c r="AS7" s="51" t="e">
        <f>'Giao CT'!#REF!</f>
        <v>#REF!</v>
      </c>
      <c r="AT7" s="13" t="e">
        <f>VLOOKUP($B$5:$B$20,#REF!,68,0)</f>
        <v>#REF!</v>
      </c>
      <c r="AU7" s="14">
        <f t="shared" si="2"/>
        <v>0</v>
      </c>
      <c r="AV7" s="46" t="e">
        <f t="shared" si="3"/>
        <v>#REF!</v>
      </c>
    </row>
    <row r="8" spans="1:48" ht="19.899999999999999" x14ac:dyDescent="0.45">
      <c r="A8" s="27">
        <v>4</v>
      </c>
      <c r="B8" s="25" t="s">
        <v>76</v>
      </c>
      <c r="C8" s="7">
        <v>1</v>
      </c>
      <c r="D8" s="20">
        <v>2</v>
      </c>
      <c r="E8" s="7">
        <v>2</v>
      </c>
      <c r="F8" s="21">
        <v>2</v>
      </c>
      <c r="G8" s="7">
        <v>0</v>
      </c>
      <c r="H8" s="19">
        <v>12</v>
      </c>
      <c r="I8" s="19">
        <v>3</v>
      </c>
      <c r="J8" s="19">
        <v>2</v>
      </c>
      <c r="K8" s="19">
        <v>10</v>
      </c>
      <c r="M8" s="54" t="s">
        <v>76</v>
      </c>
      <c r="N8" s="12">
        <v>9</v>
      </c>
      <c r="O8" s="58">
        <v>3</v>
      </c>
      <c r="P8" s="14">
        <v>0.33333333333333331</v>
      </c>
      <c r="Q8" s="46">
        <f t="shared" si="1"/>
        <v>-6</v>
      </c>
      <c r="R8" s="64">
        <v>3</v>
      </c>
      <c r="S8" s="51">
        <v>30</v>
      </c>
      <c r="T8" s="13">
        <v>30</v>
      </c>
      <c r="U8" s="14">
        <v>1</v>
      </c>
      <c r="V8" s="46">
        <v>0</v>
      </c>
      <c r="W8" s="63"/>
      <c r="X8" s="12">
        <v>3</v>
      </c>
      <c r="Y8" s="13">
        <v>3</v>
      </c>
      <c r="Z8" s="29">
        <v>1</v>
      </c>
      <c r="AA8" s="63"/>
      <c r="AB8" s="46">
        <v>0</v>
      </c>
      <c r="AC8" s="52">
        <v>9</v>
      </c>
      <c r="AD8" s="13">
        <v>4</v>
      </c>
      <c r="AE8" s="14">
        <v>0.44444444444444442</v>
      </c>
      <c r="AF8" s="46">
        <v>5</v>
      </c>
      <c r="AG8" s="52">
        <v>1</v>
      </c>
      <c r="AH8" s="13">
        <v>0</v>
      </c>
      <c r="AI8" s="14">
        <v>0</v>
      </c>
      <c r="AJ8" s="44">
        <v>1</v>
      </c>
      <c r="AK8" s="12">
        <v>85</v>
      </c>
      <c r="AL8" s="13">
        <v>118</v>
      </c>
      <c r="AM8" s="14">
        <v>1.388235294117647</v>
      </c>
      <c r="AN8" s="46">
        <v>-33</v>
      </c>
      <c r="AO8" s="51">
        <v>30</v>
      </c>
      <c r="AP8" s="13">
        <v>30</v>
      </c>
      <c r="AQ8" s="14">
        <v>1</v>
      </c>
      <c r="AR8" s="46">
        <v>0</v>
      </c>
      <c r="AS8" s="51" t="e">
        <f>'Giao CT'!#REF!</f>
        <v>#REF!</v>
      </c>
      <c r="AT8" s="13" t="e">
        <f>VLOOKUP($B$5:$B$20,#REF!,68,0)</f>
        <v>#REF!</v>
      </c>
      <c r="AU8" s="14">
        <f t="shared" si="2"/>
        <v>0</v>
      </c>
      <c r="AV8" s="46" t="e">
        <f t="shared" si="3"/>
        <v>#REF!</v>
      </c>
    </row>
    <row r="9" spans="1:48" ht="19.899999999999999" x14ac:dyDescent="0.45">
      <c r="A9" s="27">
        <v>5</v>
      </c>
      <c r="B9" s="25" t="s">
        <v>79</v>
      </c>
      <c r="C9" s="7">
        <v>1</v>
      </c>
      <c r="D9" s="20">
        <v>2</v>
      </c>
      <c r="E9" s="7">
        <v>1</v>
      </c>
      <c r="F9" s="21">
        <v>2</v>
      </c>
      <c r="G9" s="7">
        <v>12</v>
      </c>
      <c r="H9" s="19">
        <v>3</v>
      </c>
      <c r="I9" s="19">
        <v>2</v>
      </c>
      <c r="J9" s="19">
        <v>2</v>
      </c>
      <c r="K9" s="19">
        <v>10</v>
      </c>
      <c r="M9" s="53" t="s">
        <v>222</v>
      </c>
      <c r="N9" s="12">
        <v>8</v>
      </c>
      <c r="O9" s="58">
        <v>6</v>
      </c>
      <c r="P9" s="14">
        <v>0.75</v>
      </c>
      <c r="Q9" s="46">
        <f t="shared" si="1"/>
        <v>-2</v>
      </c>
      <c r="R9" s="64">
        <v>1</v>
      </c>
      <c r="S9" s="51">
        <v>30</v>
      </c>
      <c r="T9" s="13">
        <v>12</v>
      </c>
      <c r="U9" s="14">
        <v>0.4</v>
      </c>
      <c r="V9" s="46">
        <v>18</v>
      </c>
      <c r="W9" s="63">
        <v>18</v>
      </c>
      <c r="X9" s="12">
        <v>3</v>
      </c>
      <c r="Y9" s="13">
        <v>3</v>
      </c>
      <c r="Z9" s="29">
        <v>1</v>
      </c>
      <c r="AA9" s="63"/>
      <c r="AB9" s="46">
        <v>0</v>
      </c>
      <c r="AC9" s="52">
        <v>8</v>
      </c>
      <c r="AD9" s="13">
        <v>7</v>
      </c>
      <c r="AE9" s="14">
        <v>0.875</v>
      </c>
      <c r="AF9" s="46">
        <v>1</v>
      </c>
      <c r="AG9" s="52">
        <v>1</v>
      </c>
      <c r="AH9" s="13">
        <v>2</v>
      </c>
      <c r="AI9" s="14">
        <v>2</v>
      </c>
      <c r="AJ9" s="44">
        <v>-1</v>
      </c>
      <c r="AK9" s="12">
        <v>71</v>
      </c>
      <c r="AL9" s="13">
        <v>74</v>
      </c>
      <c r="AM9" s="14">
        <v>1.0422535211267605</v>
      </c>
      <c r="AN9" s="46">
        <v>-3</v>
      </c>
      <c r="AO9" s="51">
        <v>30</v>
      </c>
      <c r="AP9" s="13">
        <v>12</v>
      </c>
      <c r="AQ9" s="14">
        <v>0.4</v>
      </c>
      <c r="AR9" s="46">
        <v>18</v>
      </c>
      <c r="AS9" s="51" t="e">
        <f>'Giao CT'!#REF!</f>
        <v>#REF!</v>
      </c>
      <c r="AT9" s="13" t="e">
        <f>VLOOKUP($B$5:$B$20,#REF!,68,0)</f>
        <v>#REF!</v>
      </c>
      <c r="AU9" s="14">
        <f t="shared" si="2"/>
        <v>0</v>
      </c>
      <c r="AV9" s="46" t="e">
        <f t="shared" si="3"/>
        <v>#REF!</v>
      </c>
    </row>
    <row r="10" spans="1:48" ht="19.899999999999999" x14ac:dyDescent="0.45">
      <c r="A10" s="27">
        <v>7</v>
      </c>
      <c r="B10" s="25" t="s">
        <v>82</v>
      </c>
      <c r="C10" s="7">
        <v>1</v>
      </c>
      <c r="D10" s="20">
        <v>2</v>
      </c>
      <c r="E10" s="7">
        <v>1</v>
      </c>
      <c r="F10" s="21">
        <v>2</v>
      </c>
      <c r="G10" s="7">
        <v>12</v>
      </c>
      <c r="H10" s="19">
        <v>12</v>
      </c>
      <c r="I10" s="19">
        <v>2</v>
      </c>
      <c r="J10" s="19">
        <v>2</v>
      </c>
      <c r="K10" s="19">
        <v>10</v>
      </c>
      <c r="M10" s="53" t="s">
        <v>82</v>
      </c>
      <c r="N10" s="12">
        <v>9</v>
      </c>
      <c r="O10" s="58">
        <v>6</v>
      </c>
      <c r="P10" s="14">
        <v>0.66666666666666663</v>
      </c>
      <c r="Q10" s="46">
        <f t="shared" si="1"/>
        <v>-3</v>
      </c>
      <c r="R10" s="64">
        <v>1</v>
      </c>
      <c r="S10" s="51">
        <v>30</v>
      </c>
      <c r="T10" s="13">
        <v>24</v>
      </c>
      <c r="U10" s="14">
        <v>0.8</v>
      </c>
      <c r="V10" s="46">
        <v>6</v>
      </c>
      <c r="W10" s="63">
        <v>6</v>
      </c>
      <c r="X10" s="12">
        <v>3</v>
      </c>
      <c r="Y10" s="13">
        <v>3</v>
      </c>
      <c r="Z10" s="29">
        <v>1</v>
      </c>
      <c r="AA10" s="63"/>
      <c r="AB10" s="46">
        <v>0</v>
      </c>
      <c r="AC10" s="52">
        <v>8</v>
      </c>
      <c r="AD10" s="13">
        <v>5</v>
      </c>
      <c r="AE10" s="14">
        <v>0.625</v>
      </c>
      <c r="AF10" s="46">
        <v>3</v>
      </c>
      <c r="AG10" s="52">
        <v>1</v>
      </c>
      <c r="AH10" s="13">
        <v>1</v>
      </c>
      <c r="AI10" s="14">
        <v>1</v>
      </c>
      <c r="AJ10" s="44">
        <v>0</v>
      </c>
      <c r="AK10" s="12">
        <v>75</v>
      </c>
      <c r="AL10" s="13">
        <v>45</v>
      </c>
      <c r="AM10" s="14">
        <v>0.6</v>
      </c>
      <c r="AN10" s="46">
        <v>30</v>
      </c>
      <c r="AO10" s="51">
        <v>30</v>
      </c>
      <c r="AP10" s="13">
        <v>24</v>
      </c>
      <c r="AQ10" s="14">
        <v>0.8</v>
      </c>
      <c r="AR10" s="46">
        <v>6</v>
      </c>
      <c r="AS10" s="51" t="e">
        <f>'Giao CT'!#REF!</f>
        <v>#REF!</v>
      </c>
      <c r="AT10" s="13" t="e">
        <f>VLOOKUP($B$5:$B$20,#REF!,68,0)</f>
        <v>#REF!</v>
      </c>
      <c r="AU10" s="14">
        <f t="shared" si="2"/>
        <v>0</v>
      </c>
      <c r="AV10" s="46" t="e">
        <f t="shared" si="3"/>
        <v>#REF!</v>
      </c>
    </row>
    <row r="11" spans="1:48" ht="19.899999999999999" x14ac:dyDescent="0.45">
      <c r="A11" s="27">
        <v>8</v>
      </c>
      <c r="B11" s="25" t="s">
        <v>85</v>
      </c>
      <c r="C11" s="7">
        <v>1</v>
      </c>
      <c r="D11" s="20">
        <v>2</v>
      </c>
      <c r="E11" s="7">
        <v>1</v>
      </c>
      <c r="F11" s="21">
        <v>2</v>
      </c>
      <c r="G11" s="7">
        <v>12</v>
      </c>
      <c r="H11" s="19">
        <v>0</v>
      </c>
      <c r="I11" s="19">
        <v>3</v>
      </c>
      <c r="J11" s="19">
        <v>2</v>
      </c>
      <c r="K11" s="19">
        <v>10</v>
      </c>
      <c r="M11" s="53" t="s">
        <v>85</v>
      </c>
      <c r="N11" s="12">
        <v>9</v>
      </c>
      <c r="O11" s="58">
        <v>8</v>
      </c>
      <c r="P11" s="14">
        <v>0.88888888888888884</v>
      </c>
      <c r="Q11" s="46">
        <f t="shared" si="1"/>
        <v>-1</v>
      </c>
      <c r="R11" s="64"/>
      <c r="S11" s="51">
        <v>24</v>
      </c>
      <c r="T11" s="13">
        <v>24</v>
      </c>
      <c r="U11" s="14">
        <v>1</v>
      </c>
      <c r="V11" s="46">
        <v>0</v>
      </c>
      <c r="W11" s="63"/>
      <c r="X11" s="12">
        <v>3</v>
      </c>
      <c r="Y11" s="13">
        <v>2</v>
      </c>
      <c r="Z11" s="29">
        <v>0.66</v>
      </c>
      <c r="AA11" s="63"/>
      <c r="AB11" s="46">
        <v>2</v>
      </c>
      <c r="AC11" s="52">
        <v>7</v>
      </c>
      <c r="AD11" s="13">
        <v>4</v>
      </c>
      <c r="AE11" s="14">
        <v>0.5714285714285714</v>
      </c>
      <c r="AF11" s="46">
        <v>3</v>
      </c>
      <c r="AG11" s="52">
        <v>1</v>
      </c>
      <c r="AH11" s="13">
        <v>1</v>
      </c>
      <c r="AI11" s="14">
        <v>1</v>
      </c>
      <c r="AJ11" s="44">
        <v>0</v>
      </c>
      <c r="AK11" s="12">
        <v>80</v>
      </c>
      <c r="AL11" s="13">
        <v>46</v>
      </c>
      <c r="AM11" s="14">
        <v>0.57499999999999996</v>
      </c>
      <c r="AN11" s="46">
        <v>34</v>
      </c>
      <c r="AO11" s="51">
        <v>24</v>
      </c>
      <c r="AP11" s="13">
        <v>24</v>
      </c>
      <c r="AQ11" s="14">
        <v>1</v>
      </c>
      <c r="AR11" s="46">
        <v>0</v>
      </c>
      <c r="AS11" s="51" t="e">
        <f>'Giao CT'!#REF!</f>
        <v>#REF!</v>
      </c>
      <c r="AT11" s="13" t="e">
        <f>VLOOKUP($B$5:$B$20,#REF!,68,0)</f>
        <v>#REF!</v>
      </c>
      <c r="AU11" s="14">
        <f t="shared" si="2"/>
        <v>0</v>
      </c>
      <c r="AV11" s="46" t="e">
        <f t="shared" si="3"/>
        <v>#REF!</v>
      </c>
    </row>
    <row r="12" spans="1:48" ht="19.899999999999999" x14ac:dyDescent="0.45">
      <c r="A12" s="27">
        <v>9</v>
      </c>
      <c r="B12" s="25" t="s">
        <v>88</v>
      </c>
      <c r="C12" s="7">
        <v>1</v>
      </c>
      <c r="D12" s="20">
        <v>2</v>
      </c>
      <c r="E12" s="7">
        <v>0</v>
      </c>
      <c r="F12" s="21">
        <v>2</v>
      </c>
      <c r="G12" s="7">
        <v>3</v>
      </c>
      <c r="H12" s="19">
        <v>12</v>
      </c>
      <c r="I12" s="19">
        <v>2</v>
      </c>
      <c r="J12" s="19">
        <v>2</v>
      </c>
      <c r="K12" s="19">
        <v>10</v>
      </c>
      <c r="M12" s="54" t="s">
        <v>88</v>
      </c>
      <c r="N12" s="12">
        <v>9</v>
      </c>
      <c r="O12" s="58">
        <v>7</v>
      </c>
      <c r="P12" s="14">
        <v>0.77777777777777779</v>
      </c>
      <c r="Q12" s="46">
        <f t="shared" si="1"/>
        <v>-2</v>
      </c>
      <c r="R12" s="64">
        <v>1</v>
      </c>
      <c r="S12" s="51">
        <v>30</v>
      </c>
      <c r="T12" s="13">
        <v>26</v>
      </c>
      <c r="U12" s="14">
        <v>0.8666666666666667</v>
      </c>
      <c r="V12" s="46">
        <v>4</v>
      </c>
      <c r="W12" s="63">
        <v>4</v>
      </c>
      <c r="X12" s="12">
        <v>3</v>
      </c>
      <c r="Y12" s="13">
        <v>2</v>
      </c>
      <c r="Z12" s="29">
        <v>0.66666666666666663</v>
      </c>
      <c r="AA12" s="63">
        <v>1</v>
      </c>
      <c r="AB12" s="46">
        <v>1</v>
      </c>
      <c r="AC12" s="52">
        <v>8</v>
      </c>
      <c r="AD12" s="13">
        <v>10</v>
      </c>
      <c r="AE12" s="14">
        <v>1.25</v>
      </c>
      <c r="AF12" s="46">
        <v>-2</v>
      </c>
      <c r="AG12" s="52">
        <v>1</v>
      </c>
      <c r="AH12" s="13">
        <v>1</v>
      </c>
      <c r="AI12" s="14">
        <v>1</v>
      </c>
      <c r="AJ12" s="44">
        <v>0</v>
      </c>
      <c r="AK12" s="12">
        <v>85</v>
      </c>
      <c r="AL12" s="13">
        <v>120</v>
      </c>
      <c r="AM12" s="14">
        <v>1.411764705882353</v>
      </c>
      <c r="AN12" s="46">
        <v>-35</v>
      </c>
      <c r="AO12" s="51">
        <v>30</v>
      </c>
      <c r="AP12" s="13">
        <v>26</v>
      </c>
      <c r="AQ12" s="14">
        <v>0.8666666666666667</v>
      </c>
      <c r="AR12" s="46">
        <v>4</v>
      </c>
      <c r="AS12" s="51" t="e">
        <f>'Giao CT'!#REF!</f>
        <v>#REF!</v>
      </c>
      <c r="AT12" s="13" t="e">
        <f>VLOOKUP($B$5:$B$20,#REF!,68,0)</f>
        <v>#REF!</v>
      </c>
      <c r="AU12" s="14">
        <f t="shared" si="2"/>
        <v>0</v>
      </c>
      <c r="AV12" s="46" t="e">
        <f t="shared" si="3"/>
        <v>#REF!</v>
      </c>
    </row>
    <row r="13" spans="1:48" ht="19.899999999999999" x14ac:dyDescent="0.45">
      <c r="A13" s="27">
        <v>10</v>
      </c>
      <c r="B13" s="25" t="s">
        <v>91</v>
      </c>
      <c r="C13" s="7">
        <v>1</v>
      </c>
      <c r="D13" s="20">
        <v>2</v>
      </c>
      <c r="E13" s="7">
        <v>0</v>
      </c>
      <c r="F13" s="21">
        <v>2</v>
      </c>
      <c r="G13" s="7">
        <v>6</v>
      </c>
      <c r="H13" s="19">
        <v>6</v>
      </c>
      <c r="I13" s="19">
        <v>2</v>
      </c>
      <c r="J13" s="19">
        <v>2</v>
      </c>
      <c r="K13" s="19">
        <v>10</v>
      </c>
      <c r="M13" s="53" t="s">
        <v>91</v>
      </c>
      <c r="N13" s="12">
        <v>10</v>
      </c>
      <c r="O13" s="58">
        <v>11</v>
      </c>
      <c r="P13" s="14">
        <v>1.1000000000000001</v>
      </c>
      <c r="Q13" s="46">
        <f t="shared" si="1"/>
        <v>1</v>
      </c>
      <c r="R13" s="64"/>
      <c r="S13" s="51">
        <v>30</v>
      </c>
      <c r="T13" s="13">
        <v>25</v>
      </c>
      <c r="U13" s="14">
        <v>0.83333333333333337</v>
      </c>
      <c r="V13" s="46">
        <v>5</v>
      </c>
      <c r="W13" s="63">
        <v>5</v>
      </c>
      <c r="X13" s="12">
        <v>3</v>
      </c>
      <c r="Y13" s="13">
        <v>2</v>
      </c>
      <c r="Z13" s="29">
        <v>0.66666666666666663</v>
      </c>
      <c r="AA13" s="63">
        <v>1</v>
      </c>
      <c r="AB13" s="46">
        <v>1</v>
      </c>
      <c r="AC13" s="52">
        <v>8</v>
      </c>
      <c r="AD13" s="13">
        <v>12</v>
      </c>
      <c r="AE13" s="14">
        <v>1.5</v>
      </c>
      <c r="AF13" s="46">
        <v>-4</v>
      </c>
      <c r="AG13" s="52">
        <v>1</v>
      </c>
      <c r="AH13" s="13">
        <v>3</v>
      </c>
      <c r="AI13" s="14">
        <v>3</v>
      </c>
      <c r="AJ13" s="44">
        <v>-2</v>
      </c>
      <c r="AK13" s="12">
        <v>80</v>
      </c>
      <c r="AL13" s="13">
        <v>98</v>
      </c>
      <c r="AM13" s="14">
        <v>1.2250000000000001</v>
      </c>
      <c r="AN13" s="46">
        <v>-18</v>
      </c>
      <c r="AO13" s="51">
        <v>30</v>
      </c>
      <c r="AP13" s="13">
        <v>25</v>
      </c>
      <c r="AQ13" s="14">
        <v>0.83333333333333337</v>
      </c>
      <c r="AR13" s="46">
        <v>5</v>
      </c>
      <c r="AS13" s="51" t="e">
        <f>'Giao CT'!#REF!</f>
        <v>#REF!</v>
      </c>
      <c r="AT13" s="13" t="e">
        <f>VLOOKUP($B$5:$B$20,#REF!,68,0)</f>
        <v>#REF!</v>
      </c>
      <c r="AU13" s="14">
        <f t="shared" si="2"/>
        <v>0</v>
      </c>
      <c r="AV13" s="46" t="e">
        <f t="shared" si="3"/>
        <v>#REF!</v>
      </c>
    </row>
    <row r="14" spans="1:48" ht="19.899999999999999" x14ac:dyDescent="0.45">
      <c r="A14" s="27">
        <v>11</v>
      </c>
      <c r="B14" s="25" t="s">
        <v>94</v>
      </c>
      <c r="C14" s="7">
        <v>1</v>
      </c>
      <c r="D14" s="20">
        <v>1</v>
      </c>
      <c r="E14" s="7">
        <v>1</v>
      </c>
      <c r="F14" s="21">
        <v>1</v>
      </c>
      <c r="G14" s="7">
        <v>3</v>
      </c>
      <c r="H14" s="19">
        <v>12</v>
      </c>
      <c r="I14" s="19">
        <v>3</v>
      </c>
      <c r="J14" s="19">
        <v>2</v>
      </c>
      <c r="K14" s="19">
        <v>2</v>
      </c>
      <c r="M14" s="53" t="s">
        <v>94</v>
      </c>
      <c r="N14" s="12">
        <v>2</v>
      </c>
      <c r="O14" s="58">
        <v>2</v>
      </c>
      <c r="P14" s="14">
        <v>1</v>
      </c>
      <c r="Q14" s="46">
        <f t="shared" si="1"/>
        <v>0</v>
      </c>
      <c r="R14" s="64"/>
      <c r="S14" s="51">
        <v>24</v>
      </c>
      <c r="T14" s="13">
        <v>18</v>
      </c>
      <c r="U14" s="14">
        <v>0.75</v>
      </c>
      <c r="V14" s="46">
        <v>6</v>
      </c>
      <c r="W14" s="63">
        <v>6</v>
      </c>
      <c r="X14" s="12">
        <v>1</v>
      </c>
      <c r="Y14" s="13">
        <v>1</v>
      </c>
      <c r="Z14" s="29">
        <v>1</v>
      </c>
      <c r="AA14" s="63"/>
      <c r="AB14" s="46">
        <v>0</v>
      </c>
      <c r="AC14" s="52">
        <v>3</v>
      </c>
      <c r="AD14" s="13">
        <v>3</v>
      </c>
      <c r="AE14" s="14">
        <v>1</v>
      </c>
      <c r="AF14" s="46">
        <v>0</v>
      </c>
      <c r="AG14" s="52">
        <v>0</v>
      </c>
      <c r="AH14" s="13">
        <v>0</v>
      </c>
      <c r="AI14" s="14">
        <v>0</v>
      </c>
      <c r="AJ14" s="44">
        <v>0</v>
      </c>
      <c r="AK14" s="12">
        <v>36</v>
      </c>
      <c r="AL14" s="13">
        <v>55</v>
      </c>
      <c r="AM14" s="14">
        <v>1.5277777777777777</v>
      </c>
      <c r="AN14" s="46">
        <v>-19</v>
      </c>
      <c r="AO14" s="51">
        <v>24</v>
      </c>
      <c r="AP14" s="13">
        <v>18</v>
      </c>
      <c r="AQ14" s="14">
        <v>0.75</v>
      </c>
      <c r="AR14" s="46">
        <v>6</v>
      </c>
      <c r="AS14" s="51" t="e">
        <f>'Giao CT'!#REF!</f>
        <v>#REF!</v>
      </c>
      <c r="AT14" s="13" t="e">
        <f>VLOOKUP($B$5:$B$20,#REF!,68,0)</f>
        <v>#REF!</v>
      </c>
      <c r="AU14" s="14">
        <f t="shared" si="2"/>
        <v>0</v>
      </c>
      <c r="AV14" s="46" t="e">
        <f t="shared" si="3"/>
        <v>#REF!</v>
      </c>
    </row>
    <row r="15" spans="1:48" ht="19.899999999999999" x14ac:dyDescent="0.45">
      <c r="A15" s="27">
        <v>12</v>
      </c>
      <c r="B15" s="26" t="s">
        <v>97</v>
      </c>
      <c r="C15" s="7">
        <v>1</v>
      </c>
      <c r="D15" s="20">
        <v>1</v>
      </c>
      <c r="E15" s="7">
        <v>0</v>
      </c>
      <c r="F15" s="21">
        <v>1</v>
      </c>
      <c r="G15" s="7">
        <v>6</v>
      </c>
      <c r="H15" s="19">
        <v>12</v>
      </c>
      <c r="I15" s="19">
        <v>3</v>
      </c>
      <c r="J15" s="19">
        <v>1</v>
      </c>
      <c r="K15" s="19">
        <v>2</v>
      </c>
      <c r="M15" s="53" t="s">
        <v>97</v>
      </c>
      <c r="N15" s="12">
        <v>3</v>
      </c>
      <c r="O15" s="58">
        <v>0</v>
      </c>
      <c r="P15" s="14">
        <v>0</v>
      </c>
      <c r="Q15" s="46">
        <f t="shared" si="1"/>
        <v>-3</v>
      </c>
      <c r="R15" s="64">
        <v>2</v>
      </c>
      <c r="S15" s="51">
        <v>12</v>
      </c>
      <c r="T15" s="13">
        <v>0</v>
      </c>
      <c r="U15" s="14">
        <v>0</v>
      </c>
      <c r="V15" s="46">
        <v>12</v>
      </c>
      <c r="W15" s="63">
        <v>12</v>
      </c>
      <c r="X15" s="12">
        <v>1</v>
      </c>
      <c r="Y15" s="13">
        <v>1</v>
      </c>
      <c r="Z15" s="29">
        <v>1</v>
      </c>
      <c r="AA15" s="63"/>
      <c r="AB15" s="46">
        <v>0</v>
      </c>
      <c r="AC15" s="52">
        <v>8</v>
      </c>
      <c r="AD15" s="13">
        <v>5</v>
      </c>
      <c r="AE15" s="14">
        <v>0.625</v>
      </c>
      <c r="AF15" s="46">
        <v>3</v>
      </c>
      <c r="AG15" s="52">
        <v>0</v>
      </c>
      <c r="AH15" s="13">
        <v>0</v>
      </c>
      <c r="AI15" s="14">
        <v>0</v>
      </c>
      <c r="AJ15" s="44">
        <v>0</v>
      </c>
      <c r="AK15" s="12">
        <v>24</v>
      </c>
      <c r="AL15" s="13">
        <v>6</v>
      </c>
      <c r="AM15" s="14">
        <v>0.25</v>
      </c>
      <c r="AN15" s="46">
        <v>18</v>
      </c>
      <c r="AO15" s="51">
        <v>12</v>
      </c>
      <c r="AP15" s="13">
        <v>0</v>
      </c>
      <c r="AQ15" s="14">
        <v>0</v>
      </c>
      <c r="AR15" s="46">
        <v>12</v>
      </c>
      <c r="AS15" s="51" t="e">
        <f>'Giao CT'!#REF!</f>
        <v>#REF!</v>
      </c>
      <c r="AT15" s="13" t="e">
        <f>VLOOKUP($B$5:$B$20,#REF!,68,0)</f>
        <v>#REF!</v>
      </c>
      <c r="AU15" s="14">
        <f t="shared" si="2"/>
        <v>0</v>
      </c>
      <c r="AV15" s="46" t="e">
        <f t="shared" si="3"/>
        <v>#REF!</v>
      </c>
    </row>
    <row r="16" spans="1:48" ht="19.899999999999999" x14ac:dyDescent="0.45">
      <c r="A16" s="27">
        <v>13</v>
      </c>
      <c r="B16" s="25" t="s">
        <v>100</v>
      </c>
      <c r="C16" s="7">
        <v>1</v>
      </c>
      <c r="D16" s="20">
        <v>3</v>
      </c>
      <c r="E16" s="7">
        <v>2</v>
      </c>
      <c r="F16" s="21">
        <v>3</v>
      </c>
      <c r="G16" s="7">
        <v>6</v>
      </c>
      <c r="H16" s="19">
        <v>6</v>
      </c>
      <c r="I16" s="19">
        <v>3</v>
      </c>
      <c r="J16" s="19">
        <v>2</v>
      </c>
      <c r="K16" s="19">
        <v>10</v>
      </c>
      <c r="M16" s="53" t="s">
        <v>100</v>
      </c>
      <c r="N16" s="12">
        <v>9</v>
      </c>
      <c r="O16" s="58">
        <v>4</v>
      </c>
      <c r="P16" s="14">
        <v>0.44444444444444442</v>
      </c>
      <c r="Q16" s="46">
        <f t="shared" si="1"/>
        <v>-5</v>
      </c>
      <c r="R16" s="64">
        <v>2</v>
      </c>
      <c r="S16" s="51">
        <v>30</v>
      </c>
      <c r="T16" s="13">
        <v>6</v>
      </c>
      <c r="U16" s="14">
        <v>0.2</v>
      </c>
      <c r="V16" s="46">
        <v>24</v>
      </c>
      <c r="W16" s="63">
        <v>24</v>
      </c>
      <c r="X16" s="12">
        <v>3</v>
      </c>
      <c r="Y16" s="13">
        <v>1</v>
      </c>
      <c r="Z16" s="29">
        <v>0.33333333333333331</v>
      </c>
      <c r="AA16" s="63">
        <v>2</v>
      </c>
      <c r="AB16" s="46">
        <v>2</v>
      </c>
      <c r="AC16" s="52">
        <v>9</v>
      </c>
      <c r="AD16" s="13">
        <v>3</v>
      </c>
      <c r="AE16" s="14">
        <v>0.33333333333333331</v>
      </c>
      <c r="AF16" s="46">
        <v>6</v>
      </c>
      <c r="AG16" s="52">
        <v>1</v>
      </c>
      <c r="AH16" s="13">
        <v>0</v>
      </c>
      <c r="AI16" s="14">
        <v>0</v>
      </c>
      <c r="AJ16" s="44">
        <v>1</v>
      </c>
      <c r="AK16" s="12">
        <v>80</v>
      </c>
      <c r="AL16" s="13">
        <v>30</v>
      </c>
      <c r="AM16" s="14">
        <v>0.375</v>
      </c>
      <c r="AN16" s="46">
        <v>50</v>
      </c>
      <c r="AO16" s="51">
        <v>30</v>
      </c>
      <c r="AP16" s="13">
        <v>6</v>
      </c>
      <c r="AQ16" s="14">
        <v>0.2</v>
      </c>
      <c r="AR16" s="46">
        <v>24</v>
      </c>
      <c r="AS16" s="51" t="e">
        <f>'Giao CT'!#REF!</f>
        <v>#REF!</v>
      </c>
      <c r="AT16" s="13" t="e">
        <f>VLOOKUP($B$5:$B$20,#REF!,68,0)</f>
        <v>#REF!</v>
      </c>
      <c r="AU16" s="14">
        <f t="shared" si="2"/>
        <v>0</v>
      </c>
      <c r="AV16" s="46" t="e">
        <f t="shared" si="3"/>
        <v>#REF!</v>
      </c>
    </row>
    <row r="17" spans="1:48" ht="19.899999999999999" x14ac:dyDescent="0.45">
      <c r="A17" s="27">
        <v>14</v>
      </c>
      <c r="B17" s="25" t="s">
        <v>103</v>
      </c>
      <c r="C17" s="7">
        <v>1</v>
      </c>
      <c r="D17" s="20">
        <v>2</v>
      </c>
      <c r="E17" s="7">
        <v>1</v>
      </c>
      <c r="F17" s="21">
        <v>2</v>
      </c>
      <c r="G17" s="7">
        <v>3</v>
      </c>
      <c r="H17" s="19">
        <v>3</v>
      </c>
      <c r="I17" s="19">
        <v>2</v>
      </c>
      <c r="J17" s="19">
        <v>2</v>
      </c>
      <c r="K17" s="19">
        <v>10</v>
      </c>
      <c r="M17" s="53" t="s">
        <v>103</v>
      </c>
      <c r="N17" s="12">
        <v>6</v>
      </c>
      <c r="O17" s="58">
        <v>4</v>
      </c>
      <c r="P17" s="14">
        <v>0.66666666666666663</v>
      </c>
      <c r="Q17" s="46">
        <f t="shared" si="1"/>
        <v>-2</v>
      </c>
      <c r="R17" s="64">
        <v>1</v>
      </c>
      <c r="S17" s="51">
        <v>30</v>
      </c>
      <c r="T17" s="13">
        <v>12</v>
      </c>
      <c r="U17" s="14">
        <v>0.4</v>
      </c>
      <c r="V17" s="46">
        <v>18</v>
      </c>
      <c r="W17" s="63">
        <v>18</v>
      </c>
      <c r="X17" s="12">
        <v>3</v>
      </c>
      <c r="Y17" s="13">
        <v>2</v>
      </c>
      <c r="Z17" s="29">
        <v>0.66666666666666663</v>
      </c>
      <c r="AA17" s="63">
        <v>1</v>
      </c>
      <c r="AB17" s="46">
        <v>1</v>
      </c>
      <c r="AC17" s="52">
        <v>8</v>
      </c>
      <c r="AD17" s="13">
        <v>3</v>
      </c>
      <c r="AE17" s="14">
        <v>0.375</v>
      </c>
      <c r="AF17" s="46">
        <v>5</v>
      </c>
      <c r="AG17" s="52">
        <v>3</v>
      </c>
      <c r="AH17" s="13">
        <v>3</v>
      </c>
      <c r="AI17" s="14">
        <v>1</v>
      </c>
      <c r="AJ17" s="44">
        <v>0</v>
      </c>
      <c r="AK17" s="12">
        <v>85</v>
      </c>
      <c r="AL17" s="13">
        <v>78</v>
      </c>
      <c r="AM17" s="14">
        <v>0.91764705882352937</v>
      </c>
      <c r="AN17" s="46">
        <v>7</v>
      </c>
      <c r="AO17" s="51">
        <v>30</v>
      </c>
      <c r="AP17" s="13">
        <v>12</v>
      </c>
      <c r="AQ17" s="14">
        <v>0.4</v>
      </c>
      <c r="AR17" s="46">
        <v>18</v>
      </c>
      <c r="AS17" s="51" t="e">
        <f>'Giao CT'!#REF!</f>
        <v>#REF!</v>
      </c>
      <c r="AT17" s="13" t="e">
        <f>VLOOKUP($B$5:$B$20,#REF!,68,0)</f>
        <v>#REF!</v>
      </c>
      <c r="AU17" s="14">
        <f t="shared" si="2"/>
        <v>0</v>
      </c>
      <c r="AV17" s="46" t="e">
        <f t="shared" si="3"/>
        <v>#REF!</v>
      </c>
    </row>
    <row r="18" spans="1:48" ht="19.899999999999999" x14ac:dyDescent="0.45">
      <c r="A18" s="27">
        <v>15</v>
      </c>
      <c r="B18" s="25" t="s">
        <v>108</v>
      </c>
      <c r="C18" s="7">
        <v>1</v>
      </c>
      <c r="D18" s="20">
        <v>2</v>
      </c>
      <c r="E18" s="7">
        <v>2</v>
      </c>
      <c r="F18" s="21">
        <v>2</v>
      </c>
      <c r="G18" s="7">
        <v>3</v>
      </c>
      <c r="H18" s="19">
        <v>12</v>
      </c>
      <c r="I18" s="19">
        <v>2</v>
      </c>
      <c r="J18" s="19">
        <v>2</v>
      </c>
      <c r="K18" s="19">
        <v>10</v>
      </c>
      <c r="M18" s="53" t="s">
        <v>208</v>
      </c>
      <c r="N18" s="12">
        <v>2</v>
      </c>
      <c r="O18" s="58">
        <v>0</v>
      </c>
      <c r="P18" s="14">
        <v>0</v>
      </c>
      <c r="Q18" s="46">
        <f t="shared" si="1"/>
        <v>-2</v>
      </c>
      <c r="R18" s="64">
        <v>1</v>
      </c>
      <c r="S18" s="51">
        <v>12</v>
      </c>
      <c r="T18" s="13">
        <v>12</v>
      </c>
      <c r="U18" s="14">
        <v>1</v>
      </c>
      <c r="V18" s="46">
        <v>0</v>
      </c>
      <c r="W18" s="63"/>
      <c r="X18" s="12">
        <v>1</v>
      </c>
      <c r="Y18" s="13">
        <v>0</v>
      </c>
      <c r="Z18" s="29">
        <v>0</v>
      </c>
      <c r="AA18" s="63">
        <v>1</v>
      </c>
      <c r="AB18" s="46">
        <v>1</v>
      </c>
      <c r="AC18" s="52">
        <v>1</v>
      </c>
      <c r="AD18" s="13">
        <v>1</v>
      </c>
      <c r="AE18" s="14">
        <v>1</v>
      </c>
      <c r="AF18" s="46">
        <v>0</v>
      </c>
      <c r="AG18" s="52">
        <v>1</v>
      </c>
      <c r="AH18" s="13">
        <v>0</v>
      </c>
      <c r="AI18" s="14">
        <v>0</v>
      </c>
      <c r="AJ18" s="44">
        <v>1</v>
      </c>
      <c r="AK18" s="12">
        <v>12</v>
      </c>
      <c r="AL18" s="13">
        <v>12</v>
      </c>
      <c r="AM18" s="14">
        <v>1</v>
      </c>
      <c r="AN18" s="46">
        <v>0</v>
      </c>
      <c r="AO18" s="51">
        <v>12</v>
      </c>
      <c r="AP18" s="13">
        <v>12</v>
      </c>
      <c r="AQ18" s="14">
        <v>1</v>
      </c>
      <c r="AR18" s="46">
        <v>0</v>
      </c>
      <c r="AS18" s="51" t="e">
        <f>'Giao CT'!#REF!</f>
        <v>#REF!</v>
      </c>
      <c r="AT18" s="13" t="e">
        <f>VLOOKUP($B$5:$B$20,#REF!,68,0)</f>
        <v>#REF!</v>
      </c>
      <c r="AU18" s="14">
        <f t="shared" si="2"/>
        <v>0</v>
      </c>
      <c r="AV18" s="46" t="e">
        <f t="shared" si="3"/>
        <v>#REF!</v>
      </c>
    </row>
    <row r="19" spans="1:48" ht="19.899999999999999" x14ac:dyDescent="0.45">
      <c r="A19" s="27">
        <v>16</v>
      </c>
      <c r="B19" s="25" t="s">
        <v>111</v>
      </c>
      <c r="C19" s="7">
        <v>1</v>
      </c>
      <c r="D19" s="20">
        <v>2</v>
      </c>
      <c r="E19" s="7">
        <v>2</v>
      </c>
      <c r="F19" s="21">
        <v>2</v>
      </c>
      <c r="G19" s="7">
        <v>3</v>
      </c>
      <c r="H19" s="19">
        <v>12</v>
      </c>
      <c r="I19" s="19">
        <v>2</v>
      </c>
      <c r="J19" s="19">
        <v>2</v>
      </c>
      <c r="K19" s="19">
        <v>10</v>
      </c>
      <c r="M19" s="53" t="s">
        <v>108</v>
      </c>
      <c r="N19" s="12">
        <v>10</v>
      </c>
      <c r="O19" s="58">
        <v>8</v>
      </c>
      <c r="P19" s="14">
        <v>0.8</v>
      </c>
      <c r="Q19" s="46">
        <f t="shared" si="1"/>
        <v>-2</v>
      </c>
      <c r="R19" s="64"/>
      <c r="S19" s="51">
        <v>30</v>
      </c>
      <c r="T19" s="13">
        <v>42</v>
      </c>
      <c r="U19" s="14">
        <v>1.4</v>
      </c>
      <c r="V19" s="46">
        <v>-12</v>
      </c>
      <c r="W19" s="63"/>
      <c r="X19" s="12">
        <v>3</v>
      </c>
      <c r="Y19" s="13">
        <v>3</v>
      </c>
      <c r="Z19" s="29">
        <v>1</v>
      </c>
      <c r="AA19" s="63"/>
      <c r="AB19" s="46">
        <v>0</v>
      </c>
      <c r="AC19" s="52">
        <v>9</v>
      </c>
      <c r="AD19" s="13">
        <v>12</v>
      </c>
      <c r="AE19" s="14">
        <v>1.3333333333333333</v>
      </c>
      <c r="AF19" s="46">
        <v>-3</v>
      </c>
      <c r="AG19" s="52">
        <v>2</v>
      </c>
      <c r="AH19" s="13">
        <v>2</v>
      </c>
      <c r="AI19" s="14">
        <v>1</v>
      </c>
      <c r="AJ19" s="44">
        <v>0</v>
      </c>
      <c r="AK19" s="12">
        <v>85</v>
      </c>
      <c r="AL19" s="13">
        <v>129</v>
      </c>
      <c r="AM19" s="14">
        <v>1.5176470588235293</v>
      </c>
      <c r="AN19" s="46">
        <v>-44</v>
      </c>
      <c r="AO19" s="51">
        <v>30</v>
      </c>
      <c r="AP19" s="13">
        <v>42</v>
      </c>
      <c r="AQ19" s="14">
        <v>1.4</v>
      </c>
      <c r="AR19" s="46">
        <v>-12</v>
      </c>
      <c r="AS19" s="51" t="e">
        <f>'Giao CT'!#REF!</f>
        <v>#REF!</v>
      </c>
      <c r="AT19" s="13" t="e">
        <f>VLOOKUP($B$5:$B$20,#REF!,68,0)</f>
        <v>#REF!</v>
      </c>
      <c r="AU19" s="14">
        <f t="shared" si="2"/>
        <v>0</v>
      </c>
      <c r="AV19" s="46" t="e">
        <f t="shared" si="3"/>
        <v>#REF!</v>
      </c>
    </row>
    <row r="20" spans="1:48" ht="19.899999999999999" x14ac:dyDescent="0.45">
      <c r="A20" s="27">
        <v>17</v>
      </c>
      <c r="B20" s="26" t="s">
        <v>223</v>
      </c>
      <c r="C20" s="7">
        <v>1</v>
      </c>
      <c r="D20" s="20">
        <v>1</v>
      </c>
      <c r="E20" s="7">
        <v>1</v>
      </c>
      <c r="F20" s="21">
        <v>1</v>
      </c>
      <c r="G20" s="7">
        <v>1</v>
      </c>
      <c r="H20" s="19">
        <v>1</v>
      </c>
      <c r="I20" s="19">
        <v>1</v>
      </c>
      <c r="J20" s="19">
        <v>2</v>
      </c>
      <c r="K20" s="19">
        <v>2</v>
      </c>
      <c r="M20" s="53" t="s">
        <v>111</v>
      </c>
      <c r="N20" s="12">
        <v>10</v>
      </c>
      <c r="O20" s="58">
        <v>3</v>
      </c>
      <c r="P20" s="14">
        <v>0.3</v>
      </c>
      <c r="Q20" s="46">
        <f t="shared" si="1"/>
        <v>-7</v>
      </c>
      <c r="R20" s="64">
        <v>3</v>
      </c>
      <c r="S20" s="51">
        <v>27</v>
      </c>
      <c r="T20" s="13">
        <v>11</v>
      </c>
      <c r="U20" s="14">
        <v>0.40740740740740738</v>
      </c>
      <c r="V20" s="46">
        <v>16</v>
      </c>
      <c r="W20" s="63">
        <v>16</v>
      </c>
      <c r="X20" s="12">
        <v>3</v>
      </c>
      <c r="Y20" s="13">
        <v>3</v>
      </c>
      <c r="Z20" s="29">
        <v>1</v>
      </c>
      <c r="AA20" s="63"/>
      <c r="AB20" s="46">
        <v>0</v>
      </c>
      <c r="AC20" s="52">
        <v>9</v>
      </c>
      <c r="AD20" s="13">
        <v>11</v>
      </c>
      <c r="AE20" s="14">
        <v>1.2222222222222223</v>
      </c>
      <c r="AF20" s="46">
        <v>-2</v>
      </c>
      <c r="AG20" s="52">
        <v>2</v>
      </c>
      <c r="AH20" s="13">
        <v>2</v>
      </c>
      <c r="AI20" s="14">
        <v>1</v>
      </c>
      <c r="AJ20" s="44">
        <v>0</v>
      </c>
      <c r="AK20" s="12">
        <v>85</v>
      </c>
      <c r="AL20" s="13">
        <v>51</v>
      </c>
      <c r="AM20" s="14">
        <v>0.6</v>
      </c>
      <c r="AN20" s="46">
        <v>34</v>
      </c>
      <c r="AO20" s="51">
        <v>27</v>
      </c>
      <c r="AP20" s="13">
        <v>11</v>
      </c>
      <c r="AQ20" s="14">
        <v>0.40740740740740738</v>
      </c>
      <c r="AR20" s="46">
        <v>16</v>
      </c>
      <c r="AS20" s="51" t="e">
        <f>'Giao CT'!#REF!</f>
        <v>#REF!</v>
      </c>
      <c r="AT20" s="13" t="e">
        <f>VLOOKUP($B$5:$B$20,#REF!,68,0)</f>
        <v>#REF!</v>
      </c>
      <c r="AU20" s="14">
        <f t="shared" si="2"/>
        <v>0</v>
      </c>
      <c r="AV20" s="46" t="e">
        <f t="shared" si="3"/>
        <v>#REF!</v>
      </c>
    </row>
  </sheetData>
  <mergeCells count="16">
    <mergeCell ref="AS3:AV3"/>
    <mergeCell ref="R3:R4"/>
    <mergeCell ref="W3:W4"/>
    <mergeCell ref="X3:Z3"/>
    <mergeCell ref="AA3:AA4"/>
    <mergeCell ref="AC3:AF3"/>
    <mergeCell ref="AG3:AJ3"/>
    <mergeCell ref="AK3:AN3"/>
    <mergeCell ref="AO3:AR3"/>
    <mergeCell ref="S3:V3"/>
    <mergeCell ref="A3:A4"/>
    <mergeCell ref="B3:B4"/>
    <mergeCell ref="A1:K2"/>
    <mergeCell ref="M3:M4"/>
    <mergeCell ref="N3:Q3"/>
    <mergeCell ref="M1:Z2"/>
  </mergeCells>
  <phoneticPr fontId="0" type="noConversion"/>
  <conditionalFormatting sqref="P5:P20">
    <cfRule type="cellIs" dxfId="19" priority="22" operator="lessThan">
      <formula>0.9</formula>
    </cfRule>
  </conditionalFormatting>
  <conditionalFormatting sqref="Q5:R20">
    <cfRule type="cellIs" dxfId="18" priority="20" stopIfTrue="1" operator="lessThan">
      <formula>0</formula>
    </cfRule>
    <cfRule type="cellIs" dxfId="17" priority="21" stopIfTrue="1" operator="greaterThan">
      <formula>0</formula>
    </cfRule>
  </conditionalFormatting>
  <conditionalFormatting sqref="V5:W20">
    <cfRule type="cellIs" dxfId="16" priority="9" stopIfTrue="1" operator="lessThan">
      <formula>0</formula>
    </cfRule>
    <cfRule type="cellIs" dxfId="15" priority="10" stopIfTrue="1" operator="greaterThan">
      <formula>0</formula>
    </cfRule>
  </conditionalFormatting>
  <conditionalFormatting sqref="AA5:AB20">
    <cfRule type="cellIs" dxfId="14" priority="11" stopIfTrue="1" operator="lessThan">
      <formula>0</formula>
    </cfRule>
    <cfRule type="cellIs" dxfId="13" priority="12" stopIfTrue="1" operator="greaterThan">
      <formula>0</formula>
    </cfRule>
  </conditionalFormatting>
  <conditionalFormatting sqref="AE5:AE20">
    <cfRule type="cellIs" dxfId="12" priority="6" operator="equal">
      <formula>0</formula>
    </cfRule>
  </conditionalFormatting>
  <conditionalFormatting sqref="AF5:AF20">
    <cfRule type="cellIs" dxfId="11" priority="1" stopIfTrue="1" operator="greaterThan">
      <formula>0</formula>
    </cfRule>
    <cfRule type="cellIs" dxfId="10" priority="4" stopIfTrue="1" operator="lessThan">
      <formula>0</formula>
    </cfRule>
    <cfRule type="colorScale" priority="16">
      <colorScale>
        <cfvo type="min"/>
        <cfvo type="max"/>
        <color rgb="FF63BE7B"/>
        <color rgb="FFFFEF9C"/>
      </colorScale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:AJ20">
    <cfRule type="cellIs" dxfId="9" priority="2" stopIfTrue="1" operator="lessThan">
      <formula>0</formula>
    </cfRule>
    <cfRule type="cellIs" dxfId="8" priority="19" stopIfTrue="1" operator="greaterThan">
      <formula>0</formula>
    </cfRule>
  </conditionalFormatting>
  <conditionalFormatting sqref="AM5:AM20">
    <cfRule type="cellIs" dxfId="7" priority="8" operator="equal">
      <formula>0</formula>
    </cfRule>
  </conditionalFormatting>
  <conditionalFormatting sqref="AN5:AN20">
    <cfRule type="cellIs" dxfId="6" priority="14" stopIfTrue="1" operator="lessThan">
      <formula>0</formula>
    </cfRule>
    <cfRule type="cellIs" dxfId="5" priority="15" stopIfTrue="1" operator="greaterThan">
      <formula>0</formula>
    </cfRule>
  </conditionalFormatting>
  <conditionalFormatting sqref="AQ5:AQ20">
    <cfRule type="cellIs" dxfId="4" priority="5" operator="equal">
      <formula>0</formula>
    </cfRule>
  </conditionalFormatting>
  <conditionalFormatting sqref="AR5:AR20">
    <cfRule type="cellIs" dxfId="3" priority="13" stopIfTrue="1" operator="greaterThan">
      <formula>0</formula>
    </cfRule>
    <cfRule type="cellIs" dxfId="2" priority="24" stopIfTrue="1" operator="lessThan">
      <formula>0</formula>
    </cfRule>
  </conditionalFormatting>
  <conditionalFormatting sqref="AV5:AV20">
    <cfRule type="cellIs" dxfId="1" priority="17" stopIfTrue="1" operator="greaterThan">
      <formula>0</formula>
    </cfRule>
    <cfRule type="cellIs" dxfId="0" priority="18" stopIfTrue="1" operator="lessThan">
      <formula>0</formula>
    </cfRule>
  </conditionalFormatting>
  <pageMargins left="0.69991251615088756" right="0.69991251615088756" top="0.74990626395218019" bottom="0.74990626395218019" header="0.29996251027415122" footer="0.29996251027415122"/>
  <pageSetup paperSize="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27"/>
  <sheetViews>
    <sheetView topLeftCell="A5" zoomScaleNormal="100" workbookViewId="0">
      <selection activeCell="Q23" sqref="Q23"/>
    </sheetView>
  </sheetViews>
  <sheetFormatPr defaultColWidth="8.86328125" defaultRowHeight="14.25" x14ac:dyDescent="0.45"/>
  <cols>
    <col min="1" max="1" width="30.1328125" style="1" customWidth="1"/>
    <col min="2" max="2" width="23.9296875" style="1" bestFit="1" customWidth="1"/>
    <col min="3" max="3" width="23.9296875" style="1" customWidth="1"/>
    <col min="4" max="4" width="7.796875" style="1" hidden="1" customWidth="1"/>
    <col min="5" max="5" width="10.796875" style="1" hidden="1" customWidth="1"/>
    <col min="6" max="6" width="7.796875" style="1" hidden="1" customWidth="1"/>
    <col min="7" max="7" width="9" style="1" hidden="1" customWidth="1"/>
    <col min="8" max="8" width="7.796875" style="1" hidden="1" customWidth="1"/>
    <col min="9" max="9" width="10.796875" style="1" hidden="1" customWidth="1"/>
    <col min="10" max="10" width="7.796875" style="1" hidden="1" customWidth="1"/>
    <col min="11" max="11" width="9" style="1" hidden="1" customWidth="1"/>
    <col min="12" max="12" width="7.796875" style="1" hidden="1" customWidth="1"/>
    <col min="13" max="13" width="10.796875" style="1" hidden="1" customWidth="1"/>
    <col min="14" max="14" width="7.796875" style="1" hidden="1" customWidth="1"/>
    <col min="15" max="15" width="9" style="1" bestFit="1" customWidth="1"/>
    <col min="16" max="16" width="14" style="1" customWidth="1"/>
    <col min="17" max="17" width="8.86328125" style="1" customWidth="1"/>
    <col min="18" max="18" width="23.9296875" style="1" bestFit="1" customWidth="1"/>
    <col min="19" max="19" width="15.46484375" style="1" customWidth="1"/>
    <col min="20" max="21" width="16.1328125" style="1" customWidth="1"/>
    <col min="22" max="22" width="16.53125" style="1" customWidth="1"/>
    <col min="23" max="16384" width="8.86328125" style="1"/>
  </cols>
  <sheetData>
    <row r="1" spans="1:23" hidden="1" x14ac:dyDescent="0.45">
      <c r="A1" s="242"/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</row>
    <row r="2" spans="1:23" hidden="1" x14ac:dyDescent="0.45">
      <c r="A2" s="243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23" hidden="1" x14ac:dyDescent="0.45">
      <c r="A3" s="244"/>
      <c r="B3" s="244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</row>
    <row r="4" spans="1:23" hidden="1" x14ac:dyDescent="0.45">
      <c r="A4" s="246" t="s">
        <v>224</v>
      </c>
      <c r="B4" s="246" t="s">
        <v>39</v>
      </c>
      <c r="C4" s="124"/>
      <c r="D4" s="124"/>
      <c r="E4" s="124"/>
      <c r="F4" s="124"/>
      <c r="G4" s="124"/>
      <c r="H4" s="245"/>
      <c r="I4" s="245"/>
      <c r="J4" s="245"/>
      <c r="K4" s="245"/>
      <c r="L4" s="245"/>
      <c r="M4" s="245"/>
      <c r="N4" s="245"/>
      <c r="O4" s="245"/>
      <c r="P4" s="245"/>
    </row>
    <row r="5" spans="1:23" x14ac:dyDescent="0.45">
      <c r="A5" s="249"/>
      <c r="B5" s="249"/>
      <c r="C5" s="246" t="s">
        <v>225</v>
      </c>
      <c r="D5" s="246" t="s">
        <v>226</v>
      </c>
      <c r="E5" s="247"/>
      <c r="F5" s="246" t="s">
        <v>227</v>
      </c>
      <c r="G5" s="247"/>
      <c r="H5" s="246" t="s">
        <v>228</v>
      </c>
      <c r="I5" s="247"/>
      <c r="J5" s="246" t="s">
        <v>229</v>
      </c>
      <c r="K5" s="247"/>
      <c r="L5" s="250" t="s">
        <v>230</v>
      </c>
      <c r="M5" s="247"/>
      <c r="N5" s="245" t="s">
        <v>231</v>
      </c>
      <c r="O5" s="251"/>
      <c r="P5" s="246" t="s">
        <v>235</v>
      </c>
      <c r="R5" s="252" t="s">
        <v>34</v>
      </c>
      <c r="S5" s="252" t="s">
        <v>258</v>
      </c>
      <c r="T5" s="252" t="s">
        <v>259</v>
      </c>
      <c r="U5" s="252" t="s">
        <v>261</v>
      </c>
      <c r="V5" s="253" t="s">
        <v>260</v>
      </c>
      <c r="W5" s="155"/>
    </row>
    <row r="6" spans="1:23" x14ac:dyDescent="0.45">
      <c r="A6" s="248"/>
      <c r="B6" s="248"/>
      <c r="C6" s="249"/>
      <c r="D6" s="117" t="s">
        <v>2</v>
      </c>
      <c r="E6" s="117" t="s">
        <v>232</v>
      </c>
      <c r="F6" s="117" t="s">
        <v>2</v>
      </c>
      <c r="G6" s="117" t="s">
        <v>232</v>
      </c>
      <c r="H6" s="117" t="s">
        <v>2</v>
      </c>
      <c r="I6" s="117" t="s">
        <v>232</v>
      </c>
      <c r="J6" s="117" t="s">
        <v>2</v>
      </c>
      <c r="K6" s="117" t="s">
        <v>232</v>
      </c>
      <c r="L6" s="117" t="s">
        <v>2</v>
      </c>
      <c r="M6" s="117" t="s">
        <v>232</v>
      </c>
      <c r="N6" s="117" t="s">
        <v>2</v>
      </c>
      <c r="O6" s="117" t="s">
        <v>232</v>
      </c>
      <c r="P6" s="248"/>
      <c r="R6" s="252"/>
      <c r="S6" s="252"/>
      <c r="T6" s="252"/>
      <c r="U6" s="252"/>
      <c r="V6" s="252"/>
      <c r="W6" s="155"/>
    </row>
    <row r="7" spans="1:23" x14ac:dyDescent="0.45">
      <c r="A7" s="173" t="s">
        <v>179</v>
      </c>
      <c r="B7" s="173" t="s">
        <v>101</v>
      </c>
      <c r="C7" s="173" t="s">
        <v>102</v>
      </c>
      <c r="D7" s="174">
        <v>454</v>
      </c>
      <c r="E7" s="174">
        <v>70243418</v>
      </c>
      <c r="F7" s="174">
        <v>0</v>
      </c>
      <c r="G7" s="174">
        <v>0</v>
      </c>
      <c r="H7" s="174">
        <v>454</v>
      </c>
      <c r="I7" s="174">
        <v>70243418</v>
      </c>
      <c r="J7" s="174">
        <v>0</v>
      </c>
      <c r="K7" s="174">
        <v>0</v>
      </c>
      <c r="L7" s="174">
        <v>447</v>
      </c>
      <c r="M7" s="174">
        <v>69123846</v>
      </c>
      <c r="N7" s="175">
        <v>98.46</v>
      </c>
      <c r="O7" s="175">
        <v>98.41</v>
      </c>
      <c r="P7" s="118">
        <f>I7*0.97-M7</f>
        <v>-987730.54000000656</v>
      </c>
      <c r="R7" s="156" t="s">
        <v>117</v>
      </c>
      <c r="S7" s="159">
        <f>VLOOKUP(R7,$C$7:$P$27,7,0)</f>
        <v>101866340</v>
      </c>
      <c r="T7" s="158">
        <v>1168529.799999997</v>
      </c>
      <c r="U7" s="172">
        <f>VLOOKUP(R7,$C$7:$P$27,14,0)</f>
        <v>1168529.799999997</v>
      </c>
      <c r="V7" s="158">
        <f>VLOOKUP(R7,$C$7:$P$27,14,0)-T7</f>
        <v>0</v>
      </c>
    </row>
    <row r="8" spans="1:23" x14ac:dyDescent="0.45">
      <c r="A8" s="176" t="s">
        <v>179</v>
      </c>
      <c r="B8" s="176" t="s">
        <v>257</v>
      </c>
      <c r="C8" s="176" t="s">
        <v>253</v>
      </c>
      <c r="D8" s="177">
        <v>318</v>
      </c>
      <c r="E8" s="177">
        <v>50351985</v>
      </c>
      <c r="F8" s="177">
        <v>0</v>
      </c>
      <c r="G8" s="177">
        <v>0</v>
      </c>
      <c r="H8" s="177">
        <v>318</v>
      </c>
      <c r="I8" s="177">
        <v>50351985</v>
      </c>
      <c r="J8" s="177">
        <v>3</v>
      </c>
      <c r="K8" s="177">
        <v>290500</v>
      </c>
      <c r="L8" s="177">
        <v>307</v>
      </c>
      <c r="M8" s="177">
        <v>48972275</v>
      </c>
      <c r="N8" s="178">
        <v>96.54</v>
      </c>
      <c r="O8" s="178">
        <v>97.26</v>
      </c>
      <c r="P8" s="118">
        <f t="shared" ref="P8:P27" si="0">I8*0.97-M8</f>
        <v>-130849.55000000447</v>
      </c>
      <c r="R8" s="156" t="s">
        <v>67</v>
      </c>
      <c r="S8" s="159">
        <f t="shared" ref="S8:S17" si="1">VLOOKUP(R8,$C$7:$P$27,7,0)</f>
        <v>145101823</v>
      </c>
      <c r="T8" s="158">
        <v>855825.31000000238</v>
      </c>
      <c r="U8" s="172">
        <f t="shared" ref="U8:U17" si="2">VLOOKUP(R8,$C$7:$P$27,14,0)</f>
        <v>855825.31000000238</v>
      </c>
      <c r="V8" s="158">
        <f t="shared" ref="V8:V17" si="3">VLOOKUP(R8,$C$7:$P$27,14,0)-T8</f>
        <v>0</v>
      </c>
    </row>
    <row r="9" spans="1:23" x14ac:dyDescent="0.45">
      <c r="A9" s="173" t="s">
        <v>129</v>
      </c>
      <c r="B9" s="173" t="s">
        <v>83</v>
      </c>
      <c r="C9" s="173" t="s">
        <v>84</v>
      </c>
      <c r="D9" s="174">
        <v>588</v>
      </c>
      <c r="E9" s="174">
        <v>95369711</v>
      </c>
      <c r="F9" s="174">
        <v>0</v>
      </c>
      <c r="G9" s="174">
        <v>0</v>
      </c>
      <c r="H9" s="174">
        <v>588</v>
      </c>
      <c r="I9" s="174">
        <v>95369711</v>
      </c>
      <c r="J9" s="174">
        <v>0</v>
      </c>
      <c r="K9" s="174">
        <v>0</v>
      </c>
      <c r="L9" s="174">
        <v>576</v>
      </c>
      <c r="M9" s="174">
        <v>92736732</v>
      </c>
      <c r="N9" s="175">
        <v>97.96</v>
      </c>
      <c r="O9" s="175">
        <v>97.24</v>
      </c>
      <c r="P9" s="118">
        <f t="shared" si="0"/>
        <v>-228112.32999999821</v>
      </c>
      <c r="R9" s="157" t="s">
        <v>87</v>
      </c>
      <c r="S9" s="159">
        <f t="shared" si="1"/>
        <v>141474291</v>
      </c>
      <c r="T9" s="158">
        <v>1552713.2700000107</v>
      </c>
      <c r="U9" s="172">
        <f t="shared" si="2"/>
        <v>1552713.2700000107</v>
      </c>
      <c r="V9" s="158">
        <f t="shared" si="3"/>
        <v>0</v>
      </c>
    </row>
    <row r="10" spans="1:23" x14ac:dyDescent="0.45">
      <c r="A10" s="176" t="s">
        <v>179</v>
      </c>
      <c r="B10" s="176" t="s">
        <v>68</v>
      </c>
      <c r="C10" s="176" t="s">
        <v>69</v>
      </c>
      <c r="D10" s="177">
        <v>434</v>
      </c>
      <c r="E10" s="177">
        <v>72573808</v>
      </c>
      <c r="F10" s="177">
        <v>0</v>
      </c>
      <c r="G10" s="177">
        <v>0</v>
      </c>
      <c r="H10" s="177">
        <v>434</v>
      </c>
      <c r="I10" s="177">
        <v>72573808</v>
      </c>
      <c r="J10" s="177">
        <v>0</v>
      </c>
      <c r="K10" s="177">
        <v>0</v>
      </c>
      <c r="L10" s="177">
        <v>420</v>
      </c>
      <c r="M10" s="177">
        <v>70311422</v>
      </c>
      <c r="N10" s="178">
        <v>96.77</v>
      </c>
      <c r="O10" s="178">
        <v>96.88</v>
      </c>
      <c r="P10" s="118">
        <f t="shared" si="0"/>
        <v>85171.760000005364</v>
      </c>
      <c r="R10" s="157" t="s">
        <v>110</v>
      </c>
      <c r="S10" s="159">
        <f t="shared" si="1"/>
        <v>149379338</v>
      </c>
      <c r="T10" s="158">
        <v>5597531.8599999845</v>
      </c>
      <c r="U10" s="172">
        <f t="shared" si="2"/>
        <v>5597531.8599999845</v>
      </c>
      <c r="V10" s="158">
        <f t="shared" si="3"/>
        <v>0</v>
      </c>
    </row>
    <row r="11" spans="1:23" x14ac:dyDescent="0.45">
      <c r="A11" s="173" t="s">
        <v>129</v>
      </c>
      <c r="B11" s="173" t="s">
        <v>74</v>
      </c>
      <c r="C11" s="173" t="s">
        <v>75</v>
      </c>
      <c r="D11" s="174">
        <v>941</v>
      </c>
      <c r="E11" s="174">
        <v>152862316</v>
      </c>
      <c r="F11" s="174">
        <v>0</v>
      </c>
      <c r="G11" s="174">
        <v>0</v>
      </c>
      <c r="H11" s="174">
        <v>941</v>
      </c>
      <c r="I11" s="174">
        <v>152862316</v>
      </c>
      <c r="J11" s="174">
        <v>3</v>
      </c>
      <c r="K11" s="174">
        <v>235812</v>
      </c>
      <c r="L11" s="174">
        <v>886</v>
      </c>
      <c r="M11" s="174">
        <v>147861402</v>
      </c>
      <c r="N11" s="175">
        <v>94.16</v>
      </c>
      <c r="O11" s="175">
        <v>96.73</v>
      </c>
      <c r="P11" s="118">
        <f t="shared" si="0"/>
        <v>415044.52000001073</v>
      </c>
      <c r="R11" s="156" t="s">
        <v>99</v>
      </c>
      <c r="S11" s="159">
        <f t="shared" si="1"/>
        <v>105953075</v>
      </c>
      <c r="T11" s="158">
        <v>1139737.75</v>
      </c>
      <c r="U11" s="172">
        <f t="shared" si="2"/>
        <v>1139737.75</v>
      </c>
      <c r="V11" s="158">
        <f t="shared" si="3"/>
        <v>0</v>
      </c>
    </row>
    <row r="12" spans="1:23" x14ac:dyDescent="0.45">
      <c r="A12" s="176" t="s">
        <v>179</v>
      </c>
      <c r="B12" s="176" t="s">
        <v>122</v>
      </c>
      <c r="C12" s="176" t="s">
        <v>123</v>
      </c>
      <c r="D12" s="177">
        <v>308</v>
      </c>
      <c r="E12" s="177">
        <v>51982396</v>
      </c>
      <c r="F12" s="177">
        <v>0</v>
      </c>
      <c r="G12" s="177">
        <v>0</v>
      </c>
      <c r="H12" s="177">
        <v>308</v>
      </c>
      <c r="I12" s="177">
        <v>51982396</v>
      </c>
      <c r="J12" s="177">
        <v>0</v>
      </c>
      <c r="K12" s="177">
        <v>0</v>
      </c>
      <c r="L12" s="177">
        <v>296</v>
      </c>
      <c r="M12" s="177">
        <v>50225015</v>
      </c>
      <c r="N12" s="178">
        <v>96.1</v>
      </c>
      <c r="O12" s="178">
        <v>96.62</v>
      </c>
      <c r="P12" s="118">
        <f t="shared" si="0"/>
        <v>197909.11999999732</v>
      </c>
      <c r="R12" s="156" t="s">
        <v>75</v>
      </c>
      <c r="S12" s="159">
        <f t="shared" si="1"/>
        <v>152862316</v>
      </c>
      <c r="T12" s="158">
        <v>415044.52000001073</v>
      </c>
      <c r="U12" s="172">
        <f t="shared" si="2"/>
        <v>415044.52000001073</v>
      </c>
      <c r="V12" s="158">
        <f t="shared" si="3"/>
        <v>0</v>
      </c>
    </row>
    <row r="13" spans="1:23" x14ac:dyDescent="0.45">
      <c r="A13" s="173" t="s">
        <v>128</v>
      </c>
      <c r="B13" s="173" t="s">
        <v>66</v>
      </c>
      <c r="C13" s="173" t="s">
        <v>67</v>
      </c>
      <c r="D13" s="174">
        <v>876</v>
      </c>
      <c r="E13" s="174">
        <v>145101823</v>
      </c>
      <c r="F13" s="174">
        <v>0</v>
      </c>
      <c r="G13" s="174">
        <v>0</v>
      </c>
      <c r="H13" s="174">
        <v>876</v>
      </c>
      <c r="I13" s="174">
        <v>145101823</v>
      </c>
      <c r="J13" s="174">
        <v>3</v>
      </c>
      <c r="K13" s="174">
        <v>115806</v>
      </c>
      <c r="L13" s="174">
        <v>840</v>
      </c>
      <c r="M13" s="174">
        <v>139892943</v>
      </c>
      <c r="N13" s="175">
        <v>95.89</v>
      </c>
      <c r="O13" s="175">
        <v>96.41</v>
      </c>
      <c r="P13" s="118">
        <f t="shared" si="0"/>
        <v>855825.31000000238</v>
      </c>
      <c r="R13" s="156" t="s">
        <v>107</v>
      </c>
      <c r="S13" s="159">
        <f t="shared" si="1"/>
        <v>180440547</v>
      </c>
      <c r="T13" s="158">
        <v>1713230.5900000036</v>
      </c>
      <c r="U13" s="172">
        <f t="shared" si="2"/>
        <v>1713230.5900000036</v>
      </c>
      <c r="V13" s="158">
        <f t="shared" si="3"/>
        <v>0</v>
      </c>
    </row>
    <row r="14" spans="1:23" x14ac:dyDescent="0.45">
      <c r="A14" s="176" t="s">
        <v>129</v>
      </c>
      <c r="B14" s="176" t="s">
        <v>118</v>
      </c>
      <c r="C14" s="176" t="s">
        <v>119</v>
      </c>
      <c r="D14" s="177">
        <v>1181</v>
      </c>
      <c r="E14" s="177">
        <v>189656153</v>
      </c>
      <c r="F14" s="177">
        <v>0</v>
      </c>
      <c r="G14" s="177">
        <v>0</v>
      </c>
      <c r="H14" s="177">
        <v>1181</v>
      </c>
      <c r="I14" s="177">
        <v>189656153</v>
      </c>
      <c r="J14" s="177">
        <v>0</v>
      </c>
      <c r="K14" s="177">
        <v>0</v>
      </c>
      <c r="L14" s="177">
        <v>1129</v>
      </c>
      <c r="M14" s="177">
        <v>182797369</v>
      </c>
      <c r="N14" s="178">
        <v>95.6</v>
      </c>
      <c r="O14" s="178">
        <v>96.38</v>
      </c>
      <c r="P14" s="118">
        <f t="shared" si="0"/>
        <v>1169099.4099999964</v>
      </c>
      <c r="R14" s="157" t="s">
        <v>72</v>
      </c>
      <c r="S14" s="159">
        <f t="shared" si="1"/>
        <v>162344260</v>
      </c>
      <c r="T14" s="158">
        <v>1545305.1999999881</v>
      </c>
      <c r="U14" s="172">
        <f t="shared" si="2"/>
        <v>1545305.1999999881</v>
      </c>
      <c r="V14" s="158">
        <f t="shared" si="3"/>
        <v>0</v>
      </c>
    </row>
    <row r="15" spans="1:23" x14ac:dyDescent="0.45">
      <c r="A15" s="173" t="s">
        <v>179</v>
      </c>
      <c r="B15" s="173" t="s">
        <v>104</v>
      </c>
      <c r="C15" s="173" t="s">
        <v>105</v>
      </c>
      <c r="D15" s="174">
        <v>716</v>
      </c>
      <c r="E15" s="174">
        <v>116427734</v>
      </c>
      <c r="F15" s="174">
        <v>0</v>
      </c>
      <c r="G15" s="174">
        <v>0</v>
      </c>
      <c r="H15" s="174">
        <v>716</v>
      </c>
      <c r="I15" s="174">
        <v>116427734</v>
      </c>
      <c r="J15" s="174">
        <v>0</v>
      </c>
      <c r="K15" s="174">
        <v>0</v>
      </c>
      <c r="L15" s="174">
        <v>682</v>
      </c>
      <c r="M15" s="174">
        <v>112177574</v>
      </c>
      <c r="N15" s="175">
        <v>95.25</v>
      </c>
      <c r="O15" s="175">
        <v>96.35</v>
      </c>
      <c r="P15" s="118">
        <f t="shared" si="0"/>
        <v>757327.98000000417</v>
      </c>
      <c r="R15" s="157" t="s">
        <v>113</v>
      </c>
      <c r="S15" s="159">
        <f t="shared" si="1"/>
        <v>194517020</v>
      </c>
      <c r="T15" s="158">
        <v>2855851.400000006</v>
      </c>
      <c r="U15" s="172">
        <f t="shared" si="2"/>
        <v>2855851.400000006</v>
      </c>
      <c r="V15" s="158">
        <f t="shared" si="3"/>
        <v>0</v>
      </c>
    </row>
    <row r="16" spans="1:23" x14ac:dyDescent="0.45">
      <c r="A16" s="176" t="s">
        <v>179</v>
      </c>
      <c r="B16" s="176" t="s">
        <v>114</v>
      </c>
      <c r="C16" s="176" t="s">
        <v>115</v>
      </c>
      <c r="D16" s="177">
        <v>559</v>
      </c>
      <c r="E16" s="177">
        <v>93597302</v>
      </c>
      <c r="F16" s="177">
        <v>0</v>
      </c>
      <c r="G16" s="177">
        <v>0</v>
      </c>
      <c r="H16" s="177">
        <v>559</v>
      </c>
      <c r="I16" s="177">
        <v>93597302</v>
      </c>
      <c r="J16" s="177">
        <v>2</v>
      </c>
      <c r="K16" s="177">
        <v>65000</v>
      </c>
      <c r="L16" s="177">
        <v>530</v>
      </c>
      <c r="M16" s="177">
        <v>90081088</v>
      </c>
      <c r="N16" s="178">
        <v>94.81</v>
      </c>
      <c r="O16" s="178">
        <v>96.24</v>
      </c>
      <c r="P16" s="118">
        <f t="shared" si="0"/>
        <v>708294.93999999762</v>
      </c>
      <c r="R16" s="157" t="s">
        <v>119</v>
      </c>
      <c r="S16" s="159">
        <f t="shared" si="1"/>
        <v>189656153</v>
      </c>
      <c r="T16" s="158">
        <v>1169099.4099999964</v>
      </c>
      <c r="U16" s="172">
        <f t="shared" si="2"/>
        <v>1169099.4099999964</v>
      </c>
      <c r="V16" s="158">
        <f t="shared" si="3"/>
        <v>0</v>
      </c>
    </row>
    <row r="17" spans="1:22" x14ac:dyDescent="0.45">
      <c r="A17" s="173" t="s">
        <v>129</v>
      </c>
      <c r="B17" s="173" t="s">
        <v>106</v>
      </c>
      <c r="C17" s="173" t="s">
        <v>107</v>
      </c>
      <c r="D17" s="174">
        <v>1048</v>
      </c>
      <c r="E17" s="174">
        <v>180440547</v>
      </c>
      <c r="F17" s="174">
        <v>0</v>
      </c>
      <c r="G17" s="174">
        <v>0</v>
      </c>
      <c r="H17" s="174">
        <v>1048</v>
      </c>
      <c r="I17" s="174">
        <v>180440547</v>
      </c>
      <c r="J17" s="174">
        <v>2</v>
      </c>
      <c r="K17" s="174">
        <v>700000</v>
      </c>
      <c r="L17" s="174">
        <v>1003</v>
      </c>
      <c r="M17" s="174">
        <v>173314100</v>
      </c>
      <c r="N17" s="175">
        <v>95.71</v>
      </c>
      <c r="O17" s="175">
        <v>96.05</v>
      </c>
      <c r="P17" s="118">
        <f t="shared" si="0"/>
        <v>1713230.5900000036</v>
      </c>
      <c r="R17" s="156" t="s">
        <v>84</v>
      </c>
      <c r="S17" s="159">
        <f t="shared" si="1"/>
        <v>95369711</v>
      </c>
      <c r="T17" s="158">
        <v>-228112.32999999821</v>
      </c>
      <c r="U17" s="172">
        <f t="shared" si="2"/>
        <v>-228112.32999999821</v>
      </c>
      <c r="V17" s="158">
        <f t="shared" si="3"/>
        <v>0</v>
      </c>
    </row>
    <row r="18" spans="1:22" x14ac:dyDescent="0.45">
      <c r="A18" s="176" t="s">
        <v>129</v>
      </c>
      <c r="B18" s="176" t="s">
        <v>71</v>
      </c>
      <c r="C18" s="176" t="s">
        <v>72</v>
      </c>
      <c r="D18" s="177">
        <v>968</v>
      </c>
      <c r="E18" s="177">
        <v>162344260</v>
      </c>
      <c r="F18" s="177">
        <v>0</v>
      </c>
      <c r="G18" s="177">
        <v>0</v>
      </c>
      <c r="H18" s="177">
        <v>968</v>
      </c>
      <c r="I18" s="177">
        <v>162344260</v>
      </c>
      <c r="J18" s="177">
        <v>1</v>
      </c>
      <c r="K18" s="177">
        <v>91258</v>
      </c>
      <c r="L18" s="177">
        <v>930</v>
      </c>
      <c r="M18" s="177">
        <v>155928627</v>
      </c>
      <c r="N18" s="178">
        <v>96.07</v>
      </c>
      <c r="O18" s="178">
        <v>96.05</v>
      </c>
      <c r="P18" s="118">
        <f t="shared" si="0"/>
        <v>1545305.1999999881</v>
      </c>
    </row>
    <row r="19" spans="1:22" x14ac:dyDescent="0.45">
      <c r="A19" s="173" t="s">
        <v>128</v>
      </c>
      <c r="B19" s="173" t="s">
        <v>98</v>
      </c>
      <c r="C19" s="173" t="s">
        <v>99</v>
      </c>
      <c r="D19" s="174">
        <v>687</v>
      </c>
      <c r="E19" s="174">
        <v>105953075</v>
      </c>
      <c r="F19" s="174">
        <v>0</v>
      </c>
      <c r="G19" s="174">
        <v>0</v>
      </c>
      <c r="H19" s="174">
        <v>687</v>
      </c>
      <c r="I19" s="174">
        <v>105953075</v>
      </c>
      <c r="J19" s="174">
        <v>1</v>
      </c>
      <c r="K19" s="174">
        <v>100000</v>
      </c>
      <c r="L19" s="174">
        <v>644</v>
      </c>
      <c r="M19" s="174">
        <v>101634745</v>
      </c>
      <c r="N19" s="175">
        <v>93.74</v>
      </c>
      <c r="O19" s="175">
        <v>95.92</v>
      </c>
      <c r="P19" s="118">
        <f t="shared" si="0"/>
        <v>1139737.75</v>
      </c>
    </row>
    <row r="20" spans="1:22" x14ac:dyDescent="0.45">
      <c r="A20" s="176" t="s">
        <v>128</v>
      </c>
      <c r="B20" s="176" t="s">
        <v>86</v>
      </c>
      <c r="C20" s="176" t="s">
        <v>87</v>
      </c>
      <c r="D20" s="177">
        <v>853</v>
      </c>
      <c r="E20" s="177">
        <v>141474291</v>
      </c>
      <c r="F20" s="177">
        <v>0</v>
      </c>
      <c r="G20" s="177">
        <v>0</v>
      </c>
      <c r="H20" s="177">
        <v>853</v>
      </c>
      <c r="I20" s="177">
        <v>141474291</v>
      </c>
      <c r="J20" s="177">
        <v>0</v>
      </c>
      <c r="K20" s="177">
        <v>0</v>
      </c>
      <c r="L20" s="177">
        <v>808</v>
      </c>
      <c r="M20" s="177">
        <v>135677349</v>
      </c>
      <c r="N20" s="178">
        <v>94.72</v>
      </c>
      <c r="O20" s="178">
        <v>95.9</v>
      </c>
      <c r="P20" s="118">
        <f t="shared" si="0"/>
        <v>1552713.2700000107</v>
      </c>
    </row>
    <row r="21" spans="1:22" x14ac:dyDescent="0.45">
      <c r="A21" s="173" t="s">
        <v>128</v>
      </c>
      <c r="B21" s="173" t="s">
        <v>116</v>
      </c>
      <c r="C21" s="173" t="s">
        <v>117</v>
      </c>
      <c r="D21" s="174">
        <v>642</v>
      </c>
      <c r="E21" s="174">
        <v>101866340</v>
      </c>
      <c r="F21" s="174">
        <v>0</v>
      </c>
      <c r="G21" s="174">
        <v>0</v>
      </c>
      <c r="H21" s="174">
        <v>642</v>
      </c>
      <c r="I21" s="174">
        <v>101866340</v>
      </c>
      <c r="J21" s="174">
        <v>3</v>
      </c>
      <c r="K21" s="174">
        <v>672334</v>
      </c>
      <c r="L21" s="174">
        <v>605</v>
      </c>
      <c r="M21" s="174">
        <v>97641820</v>
      </c>
      <c r="N21" s="175">
        <v>94.24</v>
      </c>
      <c r="O21" s="175">
        <v>95.85</v>
      </c>
      <c r="P21" s="118">
        <f t="shared" si="0"/>
        <v>1168529.799999997</v>
      </c>
    </row>
    <row r="22" spans="1:22" x14ac:dyDescent="0.45">
      <c r="A22" s="176" t="s">
        <v>129</v>
      </c>
      <c r="B22" s="176" t="s">
        <v>112</v>
      </c>
      <c r="C22" s="176" t="s">
        <v>113</v>
      </c>
      <c r="D22" s="177">
        <v>1198</v>
      </c>
      <c r="E22" s="177">
        <v>194517020</v>
      </c>
      <c r="F22" s="177">
        <v>0</v>
      </c>
      <c r="G22" s="177">
        <v>0</v>
      </c>
      <c r="H22" s="177">
        <v>1198</v>
      </c>
      <c r="I22" s="177">
        <v>194517020</v>
      </c>
      <c r="J22" s="177">
        <v>1</v>
      </c>
      <c r="K22" s="177">
        <v>165000</v>
      </c>
      <c r="L22" s="177">
        <v>1122</v>
      </c>
      <c r="M22" s="177">
        <v>185825658</v>
      </c>
      <c r="N22" s="178">
        <v>93.66</v>
      </c>
      <c r="O22" s="178">
        <v>95.53</v>
      </c>
      <c r="P22" s="118">
        <f t="shared" si="0"/>
        <v>2855851.400000006</v>
      </c>
    </row>
    <row r="23" spans="1:22" x14ac:dyDescent="0.45">
      <c r="A23" s="173" t="s">
        <v>179</v>
      </c>
      <c r="B23" s="173" t="s">
        <v>89</v>
      </c>
      <c r="C23" s="173" t="s">
        <v>90</v>
      </c>
      <c r="D23" s="174">
        <v>356</v>
      </c>
      <c r="E23" s="174">
        <v>53605661</v>
      </c>
      <c r="F23" s="174">
        <v>0</v>
      </c>
      <c r="G23" s="174">
        <v>0</v>
      </c>
      <c r="H23" s="174">
        <v>356</v>
      </c>
      <c r="I23" s="174">
        <v>53605661</v>
      </c>
      <c r="J23" s="174">
        <v>0</v>
      </c>
      <c r="K23" s="174">
        <v>0</v>
      </c>
      <c r="L23" s="174">
        <v>334</v>
      </c>
      <c r="M23" s="174">
        <v>51210553</v>
      </c>
      <c r="N23" s="175">
        <v>93.82</v>
      </c>
      <c r="O23" s="175">
        <v>95.53</v>
      </c>
      <c r="P23" s="118">
        <f t="shared" si="0"/>
        <v>786938.17000000179</v>
      </c>
    </row>
    <row r="24" spans="1:22" x14ac:dyDescent="0.45">
      <c r="A24" s="176" t="s">
        <v>179</v>
      </c>
      <c r="B24" s="176" t="s">
        <v>120</v>
      </c>
      <c r="C24" s="176" t="s">
        <v>121</v>
      </c>
      <c r="D24" s="177">
        <v>415</v>
      </c>
      <c r="E24" s="177">
        <v>66800107</v>
      </c>
      <c r="F24" s="177">
        <v>0</v>
      </c>
      <c r="G24" s="177">
        <v>0</v>
      </c>
      <c r="H24" s="177">
        <v>415</v>
      </c>
      <c r="I24" s="177">
        <v>66800107</v>
      </c>
      <c r="J24" s="177">
        <v>1</v>
      </c>
      <c r="K24" s="177">
        <v>51903</v>
      </c>
      <c r="L24" s="177">
        <v>388</v>
      </c>
      <c r="M24" s="177">
        <v>63633846</v>
      </c>
      <c r="N24" s="178">
        <v>93.49</v>
      </c>
      <c r="O24" s="178">
        <v>95.26</v>
      </c>
      <c r="P24" s="118">
        <f t="shared" si="0"/>
        <v>1162257.7899999991</v>
      </c>
    </row>
    <row r="25" spans="1:22" x14ac:dyDescent="0.45">
      <c r="A25" s="173" t="s">
        <v>179</v>
      </c>
      <c r="B25" s="173" t="s">
        <v>80</v>
      </c>
      <c r="C25" s="173" t="s">
        <v>81</v>
      </c>
      <c r="D25" s="174">
        <v>546</v>
      </c>
      <c r="E25" s="174">
        <v>89879995</v>
      </c>
      <c r="F25" s="174">
        <v>0</v>
      </c>
      <c r="G25" s="174">
        <v>0</v>
      </c>
      <c r="H25" s="174">
        <v>546</v>
      </c>
      <c r="I25" s="174">
        <v>89879995</v>
      </c>
      <c r="J25" s="174">
        <v>0</v>
      </c>
      <c r="K25" s="174">
        <v>0</v>
      </c>
      <c r="L25" s="174">
        <v>508</v>
      </c>
      <c r="M25" s="174">
        <v>85071680</v>
      </c>
      <c r="N25" s="175">
        <v>93.04</v>
      </c>
      <c r="O25" s="175">
        <v>94.65</v>
      </c>
      <c r="P25" s="118">
        <f t="shared" si="0"/>
        <v>2111915.1499999911</v>
      </c>
    </row>
    <row r="26" spans="1:22" x14ac:dyDescent="0.45">
      <c r="A26" s="176" t="s">
        <v>128</v>
      </c>
      <c r="B26" s="176" t="s">
        <v>109</v>
      </c>
      <c r="C26" s="176" t="s">
        <v>110</v>
      </c>
      <c r="D26" s="177">
        <v>892</v>
      </c>
      <c r="E26" s="177">
        <v>149379338</v>
      </c>
      <c r="F26" s="177">
        <v>0</v>
      </c>
      <c r="G26" s="177">
        <v>0</v>
      </c>
      <c r="H26" s="177">
        <v>892</v>
      </c>
      <c r="I26" s="177">
        <v>149379338</v>
      </c>
      <c r="J26" s="177">
        <v>1</v>
      </c>
      <c r="K26" s="177">
        <v>39817</v>
      </c>
      <c r="L26" s="177">
        <v>833</v>
      </c>
      <c r="M26" s="177">
        <v>139300426</v>
      </c>
      <c r="N26" s="178">
        <v>93.39</v>
      </c>
      <c r="O26" s="178">
        <v>93.25</v>
      </c>
      <c r="P26" s="118">
        <f t="shared" si="0"/>
        <v>5597531.8599999845</v>
      </c>
    </row>
    <row r="27" spans="1:22" x14ac:dyDescent="0.45">
      <c r="A27" s="173" t="s">
        <v>129</v>
      </c>
      <c r="B27" s="173" t="s">
        <v>77</v>
      </c>
      <c r="C27" s="173" t="s">
        <v>78</v>
      </c>
      <c r="D27" s="174">
        <v>683</v>
      </c>
      <c r="E27" s="174">
        <v>105983346</v>
      </c>
      <c r="F27" s="174">
        <v>0</v>
      </c>
      <c r="G27" s="174">
        <v>0</v>
      </c>
      <c r="H27" s="174">
        <v>683</v>
      </c>
      <c r="I27" s="174">
        <v>105983346</v>
      </c>
      <c r="J27" s="174">
        <v>0</v>
      </c>
      <c r="K27" s="174">
        <v>0</v>
      </c>
      <c r="L27" s="174">
        <v>628</v>
      </c>
      <c r="M27" s="174">
        <v>98546556</v>
      </c>
      <c r="N27" s="175">
        <v>91.95</v>
      </c>
      <c r="O27" s="175">
        <v>92.98</v>
      </c>
      <c r="P27" s="118">
        <f t="shared" si="0"/>
        <v>4257289.6199999899</v>
      </c>
      <c r="R27" s="1" t="s">
        <v>265</v>
      </c>
    </row>
  </sheetData>
  <autoFilter ref="A6:W6" xr:uid="{00000000-0001-0000-0D00-000000000000}"/>
  <mergeCells count="19">
    <mergeCell ref="U5:U6"/>
    <mergeCell ref="V5:V6"/>
    <mergeCell ref="R5:R6"/>
    <mergeCell ref="S5:S6"/>
    <mergeCell ref="T5:T6"/>
    <mergeCell ref="A1:P1"/>
    <mergeCell ref="A2:P2"/>
    <mergeCell ref="A3:B3"/>
    <mergeCell ref="H4:P4"/>
    <mergeCell ref="H5:I5"/>
    <mergeCell ref="J5:K5"/>
    <mergeCell ref="P5:P6"/>
    <mergeCell ref="A4:A6"/>
    <mergeCell ref="B4:B6"/>
    <mergeCell ref="D5:E5"/>
    <mergeCell ref="F5:G5"/>
    <mergeCell ref="C5:C6"/>
    <mergeCell ref="L5:M5"/>
    <mergeCell ref="N5:O5"/>
  </mergeCells>
  <phoneticPr fontId="0" type="noConversion"/>
  <conditionalFormatting sqref="P7:P27">
    <cfRule type="colorScale" priority="9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69991251615088756" right="0.69991251615088756" top="0.74990626395218019" bottom="0.74990626395218019" header="0.29996251027415122" footer="0.29996251027415122"/>
  <pageSetup paperSize="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4"/>
  <sheetViews>
    <sheetView zoomScaleNormal="100" workbookViewId="0">
      <selection activeCell="H9" sqref="H9"/>
    </sheetView>
  </sheetViews>
  <sheetFormatPr defaultColWidth="9" defaultRowHeight="14.25" x14ac:dyDescent="0.45"/>
  <cols>
    <col min="1" max="1" width="25.46484375" customWidth="1"/>
    <col min="4" max="4" width="33.1328125" customWidth="1"/>
  </cols>
  <sheetData>
    <row r="1" spans="1:5" x14ac:dyDescent="0.45">
      <c r="A1" t="s">
        <v>234</v>
      </c>
    </row>
    <row r="2" spans="1:5" x14ac:dyDescent="0.45">
      <c r="A2" s="79" t="s">
        <v>3</v>
      </c>
      <c r="B2" s="79">
        <v>49</v>
      </c>
      <c r="D2" s="79" t="s">
        <v>3</v>
      </c>
      <c r="E2" s="79">
        <v>49</v>
      </c>
    </row>
    <row r="3" spans="1:5" x14ac:dyDescent="0.45">
      <c r="A3" s="79" t="s">
        <v>40</v>
      </c>
      <c r="B3" s="79">
        <v>57</v>
      </c>
      <c r="D3" s="79" t="s">
        <v>40</v>
      </c>
      <c r="E3" s="79">
        <v>57</v>
      </c>
    </row>
    <row r="4" spans="1:5" ht="28.5" x14ac:dyDescent="0.45">
      <c r="A4" s="79" t="s">
        <v>41</v>
      </c>
      <c r="B4" s="79">
        <v>113</v>
      </c>
      <c r="D4" s="79" t="s">
        <v>41</v>
      </c>
      <c r="E4" s="79">
        <v>105</v>
      </c>
    </row>
    <row r="5" spans="1:5" x14ac:dyDescent="0.45">
      <c r="A5" s="79" t="s">
        <v>42</v>
      </c>
      <c r="B5" s="79">
        <v>161</v>
      </c>
      <c r="D5" s="79" t="s">
        <v>42</v>
      </c>
      <c r="E5" s="79">
        <v>153</v>
      </c>
    </row>
    <row r="6" spans="1:5" x14ac:dyDescent="0.45">
      <c r="A6" s="79" t="s">
        <v>125</v>
      </c>
      <c r="B6" s="79">
        <v>169</v>
      </c>
      <c r="D6" s="79" t="s">
        <v>125</v>
      </c>
      <c r="E6" s="79">
        <v>161</v>
      </c>
    </row>
    <row r="7" spans="1:5" x14ac:dyDescent="0.45">
      <c r="A7" s="79" t="s">
        <v>43</v>
      </c>
      <c r="B7" s="79">
        <v>177</v>
      </c>
      <c r="D7" s="79" t="s">
        <v>43</v>
      </c>
      <c r="E7" s="79">
        <v>169</v>
      </c>
    </row>
    <row r="8" spans="1:5" x14ac:dyDescent="0.45">
      <c r="A8" s="80" t="s">
        <v>44</v>
      </c>
      <c r="B8" s="79">
        <v>137</v>
      </c>
      <c r="D8" s="79" t="s">
        <v>44</v>
      </c>
      <c r="E8" s="79">
        <v>129</v>
      </c>
    </row>
    <row r="9" spans="1:5" x14ac:dyDescent="0.45">
      <c r="A9" s="80" t="s">
        <v>45</v>
      </c>
      <c r="B9" s="79">
        <v>193</v>
      </c>
      <c r="D9" s="79" t="s">
        <v>45</v>
      </c>
      <c r="E9" s="79">
        <v>185</v>
      </c>
    </row>
    <row r="10" spans="1:5" x14ac:dyDescent="0.45">
      <c r="A10" s="80" t="s">
        <v>46</v>
      </c>
      <c r="B10" s="79">
        <v>97</v>
      </c>
      <c r="D10" s="79" t="s">
        <v>46</v>
      </c>
      <c r="E10" s="79">
        <v>97</v>
      </c>
    </row>
    <row r="11" spans="1:5" x14ac:dyDescent="0.45">
      <c r="A11" s="80" t="s">
        <v>47</v>
      </c>
      <c r="B11" s="79">
        <v>89</v>
      </c>
      <c r="D11" s="79" t="s">
        <v>47</v>
      </c>
      <c r="E11" s="79">
        <v>89</v>
      </c>
    </row>
    <row r="12" spans="1:5" x14ac:dyDescent="0.45">
      <c r="A12" s="80" t="s">
        <v>48</v>
      </c>
      <c r="B12" s="79">
        <v>153</v>
      </c>
      <c r="D12" s="79" t="s">
        <v>48</v>
      </c>
      <c r="E12" s="79">
        <v>145</v>
      </c>
    </row>
    <row r="13" spans="1:5" x14ac:dyDescent="0.45">
      <c r="A13" s="80" t="s">
        <v>49</v>
      </c>
      <c r="B13" s="79">
        <v>9</v>
      </c>
      <c r="D13" s="79" t="s">
        <v>49</v>
      </c>
      <c r="E13" s="79">
        <v>9</v>
      </c>
    </row>
    <row r="14" spans="1:5" x14ac:dyDescent="0.45">
      <c r="A14" s="80" t="s">
        <v>50</v>
      </c>
      <c r="B14" s="79">
        <v>17</v>
      </c>
      <c r="D14" s="79" t="s">
        <v>50</v>
      </c>
      <c r="E14" s="79">
        <v>17</v>
      </c>
    </row>
    <row r="15" spans="1:5" x14ac:dyDescent="0.45">
      <c r="A15" s="80" t="s">
        <v>13</v>
      </c>
      <c r="B15" s="79">
        <v>25</v>
      </c>
      <c r="D15" s="79" t="s">
        <v>13</v>
      </c>
      <c r="E15" s="79">
        <v>25</v>
      </c>
    </row>
    <row r="16" spans="1:5" x14ac:dyDescent="0.45">
      <c r="A16" s="80" t="s">
        <v>51</v>
      </c>
      <c r="B16" s="79">
        <v>81</v>
      </c>
      <c r="D16" s="79" t="s">
        <v>51</v>
      </c>
      <c r="E16" s="79">
        <v>81</v>
      </c>
    </row>
    <row r="17" spans="1:5" x14ac:dyDescent="0.45">
      <c r="A17" s="80" t="s">
        <v>14</v>
      </c>
      <c r="B17" s="79">
        <v>73</v>
      </c>
      <c r="D17" s="79" t="s">
        <v>14</v>
      </c>
      <c r="E17" s="79">
        <v>73</v>
      </c>
    </row>
    <row r="18" spans="1:5" x14ac:dyDescent="0.45">
      <c r="A18" s="80" t="s">
        <v>52</v>
      </c>
      <c r="B18" s="79"/>
      <c r="D18" s="79" t="s">
        <v>52</v>
      </c>
      <c r="E18" s="79"/>
    </row>
    <row r="19" spans="1:5" x14ac:dyDescent="0.45">
      <c r="A19" s="80" t="s">
        <v>16</v>
      </c>
      <c r="B19" s="79">
        <v>65</v>
      </c>
      <c r="D19" s="79" t="s">
        <v>16</v>
      </c>
      <c r="E19" s="79">
        <v>65</v>
      </c>
    </row>
    <row r="20" spans="1:5" x14ac:dyDescent="0.45">
      <c r="A20" s="80" t="s">
        <v>53</v>
      </c>
      <c r="B20" s="79"/>
      <c r="D20" s="79" t="s">
        <v>53</v>
      </c>
      <c r="E20" s="79"/>
    </row>
    <row r="21" spans="1:5" x14ac:dyDescent="0.45">
      <c r="A21" s="80" t="s">
        <v>54</v>
      </c>
      <c r="B21" s="79">
        <v>145</v>
      </c>
      <c r="D21" s="79" t="s">
        <v>54</v>
      </c>
      <c r="E21" s="79">
        <v>137</v>
      </c>
    </row>
    <row r="22" spans="1:5" x14ac:dyDescent="0.45">
      <c r="A22" s="80" t="s">
        <v>55</v>
      </c>
      <c r="B22" s="79">
        <v>121</v>
      </c>
      <c r="D22" s="79" t="s">
        <v>55</v>
      </c>
      <c r="E22" s="79">
        <v>113</v>
      </c>
    </row>
    <row r="23" spans="1:5" x14ac:dyDescent="0.45">
      <c r="A23" s="80" t="s">
        <v>56</v>
      </c>
      <c r="B23" s="79">
        <v>33</v>
      </c>
      <c r="D23" s="79" t="s">
        <v>56</v>
      </c>
      <c r="E23" s="79">
        <v>33</v>
      </c>
    </row>
    <row r="24" spans="1:5" x14ac:dyDescent="0.45">
      <c r="A24" s="80" t="s">
        <v>57</v>
      </c>
      <c r="B24" s="79">
        <v>129</v>
      </c>
      <c r="D24" s="79" t="s">
        <v>57</v>
      </c>
      <c r="E24" s="79">
        <v>129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5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TH NV</vt:lpstr>
      <vt:lpstr>điểm NV</vt:lpstr>
      <vt:lpstr>tiến độ</vt:lpstr>
      <vt:lpstr>GBOC</vt:lpstr>
      <vt:lpstr>Giao CT</vt:lpstr>
      <vt:lpstr>VDS</vt:lpstr>
      <vt:lpstr>KH ngay</vt:lpstr>
      <vt:lpstr>cuoc</vt:lpstr>
      <vt:lpstr>Sheet2</vt:lpstr>
      <vt:lpstr>'Giao CT'!_FilterDatabase</vt:lpstr>
      <vt:lpstr>'TH NV'!_FilterDatabase</vt:lpstr>
      <vt:lpstr>'tiến độ'!_FilterDatabase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Đặng Việt</cp:lastModifiedBy>
  <cp:revision>0</cp:revision>
  <cp:lastPrinted>2025-02-11T08:00:47Z</cp:lastPrinted>
  <dcterms:created xsi:type="dcterms:W3CDTF">2024-11-09T02:03:42Z</dcterms:created>
  <dcterms:modified xsi:type="dcterms:W3CDTF">2026-02-28T01:42:19Z</dcterms:modified>
</cp:coreProperties>
</file>