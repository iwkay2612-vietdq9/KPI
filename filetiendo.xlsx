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8DE384A6-4232-461E-959E-21F4D7E6C84F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16" i="24" l="1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<sst xmlns="http://schemas.openxmlformats.org/spreadsheetml/2006/main" count="1004" uniqueCount="262">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</sst>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83" t="s">
        <v>34</v>
      </c>
      <c r="B2" s="69"/>
      <c r="C2" s="15"/>
      <c r="D2" s="194" t="s">
        <v>35</v>
      </c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89" t="s">
        <v>36</v>
      </c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8" t="s">
        <v>37</v>
      </c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7" t="s">
        <v>38</v>
      </c>
      <c r="AW2" s="187"/>
      <c r="AX2" s="187"/>
      <c r="AY2" s="187"/>
      <c r="AZ2" s="187"/>
      <c r="BA2" s="187"/>
      <c r="BB2" s="187"/>
      <c r="BC2" s="187"/>
      <c r="BD2" s="187"/>
      <c r="BE2" s="187"/>
      <c r="BF2" s="187"/>
      <c r="BG2" s="187"/>
    </row>
    <row r="3" spans="1:675" s="3" customFormat="1" ht="28.25" customHeight="1" x14ac:dyDescent="0.3">
      <c r="A3" s="183"/>
      <c r="B3" s="195" t="s">
        <v>39</v>
      </c>
      <c r="C3" s="70"/>
      <c r="D3" s="185" t="s">
        <v>3</v>
      </c>
      <c r="E3" s="186"/>
      <c r="F3" s="186"/>
      <c r="G3" s="186"/>
      <c r="H3" s="185" t="s">
        <v>40</v>
      </c>
      <c r="I3" s="186"/>
      <c r="J3" s="186"/>
      <c r="K3" s="186"/>
      <c r="L3" s="185" t="s">
        <v>41</v>
      </c>
      <c r="M3" s="186"/>
      <c r="N3" s="186"/>
      <c r="O3" s="186"/>
      <c r="P3" s="198" t="s">
        <v>42</v>
      </c>
      <c r="Q3" s="199"/>
      <c r="R3" s="199"/>
      <c r="S3" s="200"/>
      <c r="T3" s="185" t="s">
        <v>43</v>
      </c>
      <c r="U3" s="186"/>
      <c r="V3" s="186"/>
      <c r="W3" s="186"/>
      <c r="X3" s="185" t="s">
        <v>45</v>
      </c>
      <c r="Y3" s="186"/>
      <c r="Z3" s="186"/>
      <c r="AA3" s="186"/>
      <c r="AB3" s="185" t="s">
        <v>47</v>
      </c>
      <c r="AC3" s="186"/>
      <c r="AD3" s="186"/>
      <c r="AE3" s="186"/>
      <c r="AF3" s="185" t="s">
        <v>48</v>
      </c>
      <c r="AG3" s="186"/>
      <c r="AH3" s="186"/>
      <c r="AI3" s="186"/>
      <c r="AJ3" s="191" t="s">
        <v>51</v>
      </c>
      <c r="AK3" s="192"/>
      <c r="AL3" s="192"/>
      <c r="AM3" s="193"/>
      <c r="AN3" s="191" t="s">
        <v>14</v>
      </c>
      <c r="AO3" s="192"/>
      <c r="AP3" s="192"/>
      <c r="AQ3" s="193"/>
      <c r="AR3" s="191" t="s">
        <v>52</v>
      </c>
      <c r="AS3" s="192"/>
      <c r="AT3" s="192"/>
      <c r="AU3" s="193"/>
      <c r="AV3" s="186" t="s">
        <v>16</v>
      </c>
      <c r="AW3" s="186"/>
      <c r="AX3" s="186"/>
      <c r="AY3" s="186"/>
      <c r="AZ3" s="186" t="s">
        <v>54</v>
      </c>
      <c r="BA3" s="186"/>
      <c r="BB3" s="186"/>
      <c r="BC3" s="186"/>
      <c r="BD3" s="185" t="s">
        <v>55</v>
      </c>
      <c r="BE3" s="186"/>
      <c r="BF3" s="190"/>
      <c r="BG3" s="186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84"/>
      <c r="B4" s="195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0.87430000000000008</v>
      </c>
      <c r="AT5" s="14">
        <f t="shared" ref="AT5:AT18" si="20">IF(AS5&lt;94.5%,0,IF(AS5&lt;95.54%,50%,IF(AS5&lt;AR5,80%,100%+(30%*(AS5-AR5)/3.39%))))</f>
        <v>0</v>
      </c>
      <c r="AU5" s="48">
        <f t="shared" ref="AU5:AU18" si="21">AR5-AS5</f>
        <v>9.5699999999999896E-2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1">
        <f t="shared" si="19"/>
        <v>1.6</v>
      </c>
      <c r="AR6" s="33">
        <v>0.97</v>
      </c>
      <c r="AS6" s="112">
        <f>(VLOOKUP(B6,cuoc!$B$7:$P$27,14,0))*1%</f>
        <v>0.80620000000000003</v>
      </c>
      <c r="AT6" s="14">
        <f t="shared" si="20"/>
        <v>0</v>
      </c>
      <c r="AU6" s="48">
        <f t="shared" si="21"/>
        <v>0.16379999999999995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3</v>
      </c>
      <c r="R7" s="14">
        <f t="shared" si="6"/>
        <v>0.75</v>
      </c>
      <c r="S7" s="46">
        <f t="shared" si="7"/>
        <v>1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46">
        <f t="shared" si="11"/>
        <v>-1</v>
      </c>
      <c r="AB7" s="51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46">
        <f t="shared" si="13"/>
        <v>3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1">
        <f t="shared" si="19"/>
        <v>2</v>
      </c>
      <c r="AR7" s="33">
        <v>0.97</v>
      </c>
      <c r="AS7" s="112">
        <f>(VLOOKUP(B7,cuoc!$B$7:$P$27,14,0))*1%</f>
        <v>0.84689999999999999</v>
      </c>
      <c r="AT7" s="14">
        <f t="shared" si="20"/>
        <v>0</v>
      </c>
      <c r="AU7" s="48">
        <f t="shared" si="21"/>
        <v>0.12309999999999999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0.84279999999999999</v>
      </c>
      <c r="AT8" s="14">
        <f t="shared" si="20"/>
        <v>0</v>
      </c>
      <c r="AU8" s="48">
        <f t="shared" si="21"/>
        <v>0.12719999999999998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4</v>
      </c>
      <c r="N9" s="14">
        <f t="shared" si="4"/>
        <v>0.8</v>
      </c>
      <c r="O9" s="46">
        <f t="shared" si="5"/>
        <v>1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46">
        <f t="shared" si="11"/>
        <v>-8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1">
        <f t="shared" si="19"/>
        <v>1.5</v>
      </c>
      <c r="AR9" s="33">
        <v>0.97</v>
      </c>
      <c r="AS9" s="112">
        <f>(VLOOKUP(B9,cuoc!$B$7:$P$27,14,0))*1%</f>
        <v>0.84599999999999997</v>
      </c>
      <c r="AT9" s="14">
        <f t="shared" si="20"/>
        <v>0</v>
      </c>
      <c r="AU9" s="48">
        <f t="shared" si="21"/>
        <v>0.124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1</v>
      </c>
      <c r="N10" s="14">
        <f t="shared" si="4"/>
        <v>0.25</v>
      </c>
      <c r="O10" s="46">
        <f t="shared" si="5"/>
        <v>3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44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1">
        <f t="shared" si="19"/>
        <v>2</v>
      </c>
      <c r="AR10" s="33">
        <v>0.97</v>
      </c>
      <c r="AS10" s="112">
        <f>(VLOOKUP(B10,cuoc!$B$7:$P$27,14,0))*1%</f>
        <v>0.82200000000000006</v>
      </c>
      <c r="AT10" s="14">
        <f t="shared" si="20"/>
        <v>0</v>
      </c>
      <c r="AU10" s="48">
        <f t="shared" si="21"/>
        <v>0.14799999999999991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46">
        <f t="shared" si="3"/>
        <v>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44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46">
        <f t="shared" si="11"/>
        <v>1</v>
      </c>
      <c r="AB11" s="51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46">
        <f t="shared" si="13"/>
        <v>-19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0.8237000000000001</v>
      </c>
      <c r="AT11" s="14">
        <f t="shared" si="20"/>
        <v>0</v>
      </c>
      <c r="AU11" s="48">
        <f t="shared" si="21"/>
        <v>0.14629999999999987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0</v>
      </c>
      <c r="BB11" s="104">
        <f t="shared" si="24"/>
        <v>0</v>
      </c>
      <c r="BC11" s="48">
        <f t="shared" si="25"/>
        <v>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44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1">
        <f t="shared" si="19"/>
        <v>2</v>
      </c>
      <c r="AR12" s="33">
        <v>0.97</v>
      </c>
      <c r="AS12" s="112">
        <f>(VLOOKUP(B12,cuoc!$B$7:$P$27,14,0))*1%</f>
        <v>0.82950000000000002</v>
      </c>
      <c r="AT12" s="14">
        <f t="shared" si="20"/>
        <v>0</v>
      </c>
      <c r="AU12" s="48">
        <f t="shared" si="21"/>
        <v>0.14049999999999996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6</v>
      </c>
      <c r="F13" s="14">
        <f t="shared" si="0"/>
        <v>0.8571428571428571</v>
      </c>
      <c r="G13" s="46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44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46">
        <f t="shared" si="11"/>
        <v>-8</v>
      </c>
      <c r="AB13" s="51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46">
        <f t="shared" si="13"/>
        <v>-37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1">
        <f t="shared" si="19"/>
        <v>1.4</v>
      </c>
      <c r="AR13" s="33">
        <v>0.97</v>
      </c>
      <c r="AS13" s="112">
        <f>(VLOOKUP(B13,cuoc!$B$7:$P$27,14,0))*1%</f>
        <v>0.87209999999999999</v>
      </c>
      <c r="AT13" s="14">
        <f t="shared" si="20"/>
        <v>0</v>
      </c>
      <c r="AU13" s="48">
        <f t="shared" si="21"/>
        <v>9.7899999999999987E-2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1</v>
      </c>
      <c r="N14" s="14">
        <f t="shared" si="4"/>
        <v>0.2</v>
      </c>
      <c r="O14" s="46">
        <f t="shared" si="5"/>
        <v>4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46">
        <f t="shared" si="15"/>
        <v>9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1">
        <f t="shared" si="19"/>
        <v>1.6</v>
      </c>
      <c r="AR14" s="33">
        <v>0.97</v>
      </c>
      <c r="AS14" s="112">
        <f>(VLOOKUP(B14,cuoc!$B$7:$P$27,14,0))*1%</f>
        <v>0.74349999999999994</v>
      </c>
      <c r="AT14" s="14">
        <f t="shared" si="20"/>
        <v>0</v>
      </c>
      <c r="AU14" s="48">
        <f t="shared" si="21"/>
        <v>0.22650000000000003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2</v>
      </c>
      <c r="N15" s="14">
        <f t="shared" si="4"/>
        <v>0.4</v>
      </c>
      <c r="O15" s="46">
        <f t="shared" si="5"/>
        <v>3</v>
      </c>
      <c r="P15" s="52">
        <f>VLOOKUP(C15,'Giao CT'!$D$6:$S$20,6,0)</f>
        <v>4</v>
      </c>
      <c r="Q15" s="58">
        <f>VLOOKUP(C15,GBOC!$E$7:$DG$29,$B$23,0)</f>
        <v>2</v>
      </c>
      <c r="R15" s="14">
        <f t="shared" si="6"/>
        <v>0.5</v>
      </c>
      <c r="S15" s="46">
        <f t="shared" si="7"/>
        <v>2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46">
        <f t="shared" si="13"/>
        <v>-21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1">
        <f t="shared" si="19"/>
        <v>2</v>
      </c>
      <c r="AR15" s="33">
        <v>0.97</v>
      </c>
      <c r="AS15" s="112">
        <f>(VLOOKUP(B15,cuoc!$B$7:$P$27,14,0))*1%</f>
        <v>0.78670000000000007</v>
      </c>
      <c r="AT15" s="14">
        <f t="shared" si="20"/>
        <v>0</v>
      </c>
      <c r="AU15" s="48">
        <f t="shared" si="21"/>
        <v>0.18329999999999991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0</v>
      </c>
      <c r="BB15" s="104">
        <f t="shared" si="24"/>
        <v>0</v>
      </c>
      <c r="BC15" s="48">
        <f t="shared" si="25"/>
        <v>1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1">
        <f t="shared" si="19"/>
        <v>2</v>
      </c>
      <c r="AR16" s="33">
        <v>0.97</v>
      </c>
      <c r="AS16" s="112">
        <f>(VLOOKUP(B16,cuoc!$B$7:$P$27,14,0))*1%</f>
        <v>0.85739999999999994</v>
      </c>
      <c r="AT16" s="14">
        <f t="shared" si="20"/>
        <v>0</v>
      </c>
      <c r="AU16" s="48">
        <f t="shared" si="21"/>
        <v>0.11260000000000003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11</v>
      </c>
      <c r="F17" s="14">
        <f t="shared" si="0"/>
        <v>1.5714285714285714</v>
      </c>
      <c r="G17" s="46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46">
        <f t="shared" si="3"/>
        <v>-1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5</v>
      </c>
      <c r="R17" s="14">
        <f t="shared" si="6"/>
        <v>1.25</v>
      </c>
      <c r="S17" s="46">
        <f t="shared" si="7"/>
        <v>-1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46">
        <f t="shared" si="11"/>
        <v>-20</v>
      </c>
      <c r="AB17" s="51">
        <f>VLOOKUP(C17,'Giao CT'!$D$6:$S$20,9,0)</f>
        <v>60</v>
      </c>
      <c r="AC17" s="13">
        <f>VLOOKUP(C17,GBOC!$E$7:$DG$29,$B$26,0)</f>
        <v>172</v>
      </c>
      <c r="AD17" s="14">
        <f t="shared" si="12"/>
        <v>2.8666666666666667</v>
      </c>
      <c r="AE17" s="46">
        <f t="shared" si="13"/>
        <v>-112</v>
      </c>
      <c r="AF17" s="51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46">
        <f t="shared" si="15"/>
        <v>-13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1">
        <f t="shared" si="19"/>
        <v>2</v>
      </c>
      <c r="AR17" s="33">
        <v>0.97</v>
      </c>
      <c r="AS17" s="112">
        <f>(VLOOKUP(B17,cuoc!$B$7:$P$27,14,0))*1%</f>
        <v>0.85599999999999998</v>
      </c>
      <c r="AT17" s="14">
        <f t="shared" si="20"/>
        <v>0</v>
      </c>
      <c r="AU17" s="48">
        <f t="shared" si="21"/>
        <v>0.11399999999999999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2</v>
      </c>
      <c r="N18" s="14">
        <f t="shared" si="4"/>
        <v>1</v>
      </c>
      <c r="O18" s="46">
        <f t="shared" si="5"/>
        <v>0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46">
        <f t="shared" si="11"/>
        <v>1</v>
      </c>
      <c r="AB18" s="51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46">
        <f t="shared" si="13"/>
        <v>-1</v>
      </c>
      <c r="AF18" s="51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46">
        <f t="shared" si="15"/>
        <v>5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0.81530000000000002</v>
      </c>
      <c r="AT18" s="14">
        <f t="shared" si="20"/>
        <v>0</v>
      </c>
      <c r="AU18" s="48">
        <f t="shared" si="21"/>
        <v>0.15469999999999995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0</v>
      </c>
      <c r="BB18" s="104">
        <f t="shared" si="24"/>
        <v>0</v>
      </c>
      <c r="BC18" s="48">
        <f t="shared" si="25"/>
        <v>1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96">
        <f ca="1">TODAY()</f>
        <v>46078</v>
      </c>
      <c r="G19" s="196"/>
      <c r="H19" s="73"/>
      <c r="I19" s="74">
        <f ca="1">DAY(F19)</f>
        <v>25</v>
      </c>
      <c r="J19" s="75">
        <v>31</v>
      </c>
      <c r="K19" s="78">
        <f ca="1">I19/J19</f>
        <v>0.80645161290322576</v>
      </c>
      <c r="L19" s="197" t="s">
        <v>124</v>
      </c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B2" sqref="B2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2</v>
      </c>
      <c r="E10" s="42">
        <f>200%-IFERROR(D10/C10,2)</f>
        <v>1.6</v>
      </c>
      <c r="F10" s="42">
        <f t="shared" si="1"/>
        <v>1.6</v>
      </c>
      <c r="G10" s="110">
        <v>10</v>
      </c>
      <c r="H10" s="111">
        <f t="shared" si="4"/>
        <v>12</v>
      </c>
      <c r="I10" s="109">
        <f t="shared" si="5"/>
        <v>12</v>
      </c>
      <c r="J10" s="59">
        <f t="shared" si="2"/>
        <v>3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0</v>
      </c>
      <c r="E11" s="42">
        <f>D11/C11</f>
        <v>0</v>
      </c>
      <c r="F11" s="42">
        <f t="shared" si="1"/>
        <v>0</v>
      </c>
      <c r="G11" s="110">
        <v>5</v>
      </c>
      <c r="H11" s="111">
        <f t="shared" si="4"/>
        <v>6</v>
      </c>
      <c r="I11" s="109">
        <f t="shared" si="5"/>
        <v>0</v>
      </c>
      <c r="J11" s="59">
        <f t="shared" si="2"/>
        <v>9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1</v>
      </c>
      <c r="E13" s="42">
        <f>D13/C13</f>
        <v>0.2</v>
      </c>
      <c r="F13" s="42">
        <f t="shared" si="1"/>
        <v>0.2</v>
      </c>
      <c r="G13" s="110">
        <v>10</v>
      </c>
      <c r="H13" s="111">
        <f t="shared" si="4"/>
        <v>12</v>
      </c>
      <c r="I13" s="109">
        <f t="shared" si="5"/>
        <v>2</v>
      </c>
      <c r="J13" s="59">
        <f t="shared" si="2"/>
        <v>4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0.74349999999999994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0.22650000000000003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61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Q8" sqref="Q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4" t="s">
        <v>35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89" t="s">
        <v>36</v>
      </c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5" t="s">
        <v>3</v>
      </c>
      <c r="E2" s="186"/>
      <c r="F2" s="186"/>
      <c r="G2" s="186"/>
      <c r="H2" s="185" t="s">
        <v>40</v>
      </c>
      <c r="I2" s="186"/>
      <c r="J2" s="186"/>
      <c r="K2" s="186"/>
      <c r="L2" s="185" t="s">
        <v>41</v>
      </c>
      <c r="M2" s="186"/>
      <c r="N2" s="186"/>
      <c r="O2" s="186"/>
      <c r="P2" s="198" t="s">
        <v>42</v>
      </c>
      <c r="Q2" s="199"/>
      <c r="R2" s="199"/>
      <c r="S2" s="200"/>
      <c r="T2" s="185" t="s">
        <v>43</v>
      </c>
      <c r="U2" s="186"/>
      <c r="V2" s="186"/>
      <c r="W2" s="186"/>
      <c r="X2" s="185" t="s">
        <v>45</v>
      </c>
      <c r="Y2" s="186"/>
      <c r="Z2" s="186"/>
      <c r="AA2" s="186"/>
      <c r="AB2" s="185" t="s">
        <v>47</v>
      </c>
      <c r="AC2" s="186"/>
      <c r="AD2" s="186"/>
      <c r="AE2" s="186"/>
      <c r="AF2" s="185" t="s">
        <v>48</v>
      </c>
      <c r="AG2" s="186"/>
      <c r="AH2" s="186"/>
      <c r="AI2" s="186"/>
      <c r="AJ2" s="191" t="s">
        <v>51</v>
      </c>
      <c r="AK2" s="192"/>
      <c r="AL2" s="192"/>
      <c r="AM2" s="193"/>
      <c r="AN2" s="191" t="s">
        <v>14</v>
      </c>
      <c r="AO2" s="192"/>
      <c r="AP2" s="192"/>
      <c r="AQ2" s="193"/>
      <c r="AR2" s="191" t="s">
        <v>52</v>
      </c>
      <c r="AS2" s="192"/>
      <c r="AT2" s="192"/>
      <c r="AU2" s="193"/>
      <c r="AV2" s="186" t="s">
        <v>16</v>
      </c>
      <c r="AW2" s="186"/>
      <c r="AX2" s="186"/>
      <c r="AY2" s="186"/>
      <c r="AZ2" s="186" t="s">
        <v>54</v>
      </c>
      <c r="BA2" s="186"/>
      <c r="BB2" s="186"/>
      <c r="BC2" s="186"/>
      <c r="BD2" s="185" t="s">
        <v>55</v>
      </c>
      <c r="BE2" s="186"/>
      <c r="BF2" s="190"/>
      <c r="BG2" s="186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0.87430000000000008</v>
      </c>
      <c r="AT4" s="14">
        <f t="shared" ref="AT4" si="20">IF(AS4&lt;94.5%,0,IF(AS4&lt;95.54%,50%,IF(AS4&lt;AR4,80%,100%+(30%*(AS4-AR4)/3.39%))))</f>
        <v>0</v>
      </c>
      <c r="AU4" s="48">
        <f t="shared" ref="AU4" si="21">AR4-AS4</f>
        <v>9.5699999999999896E-2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46">
        <f t="shared" ref="K5:K16" si="31">H5-I5</f>
        <v>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44">
        <f t="shared" ref="W5:W16" si="37">T5-U5</f>
        <v>1</v>
      </c>
      <c r="X5" s="52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46">
        <f t="shared" ref="AA5:AA16" si="39">X5-Y5</f>
        <v>1</v>
      </c>
      <c r="AB5" s="51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46">
        <f t="shared" ref="AE5:AE16" si="41">AB5-AC5</f>
        <v>-19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0.8237000000000001</v>
      </c>
      <c r="AT5" s="14">
        <f t="shared" ref="AT5:AT16" si="48">IF(AS5&lt;94.5%,0,IF(AS5&lt;95.54%,50%,IF(AS5&lt;AR5,80%,100%+(30%*(AS5-AR5)/3.39%))))</f>
        <v>0</v>
      </c>
      <c r="AU5" s="48">
        <f t="shared" ref="AU5:AU16" si="49">AR5-AS5</f>
        <v>0.14629999999999987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48">
        <f t="shared" ref="BC5:BC16" si="53">AZ5-BA5</f>
        <v>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44">
        <f t="shared" si="37"/>
        <v>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1">
        <f t="shared" si="47"/>
        <v>2</v>
      </c>
      <c r="AR6" s="33">
        <v>0.97</v>
      </c>
      <c r="AS6" s="112">
        <f>(VLOOKUP(B6,cuoc!$B$7:$P$27,14,0))*1%</f>
        <v>0.82950000000000002</v>
      </c>
      <c r="AT6" s="14">
        <f t="shared" si="48"/>
        <v>0</v>
      </c>
      <c r="AU6" s="48">
        <f t="shared" si="49"/>
        <v>0.14049999999999996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1</v>
      </c>
      <c r="N7" s="14">
        <f t="shared" si="32"/>
        <v>0.2</v>
      </c>
      <c r="O7" s="46">
        <f t="shared" si="33"/>
        <v>4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46">
        <f t="shared" si="43"/>
        <v>9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1">
        <f t="shared" si="47"/>
        <v>1.6</v>
      </c>
      <c r="AR7" s="33">
        <v>0.97</v>
      </c>
      <c r="AS7" s="112">
        <f>(VLOOKUP(B7,cuoc!$B$7:$P$27,14,0))*1%</f>
        <v>0.74349999999999994</v>
      </c>
      <c r="AT7" s="14">
        <f t="shared" si="48"/>
        <v>0</v>
      </c>
      <c r="AU7" s="48">
        <f t="shared" si="49"/>
        <v>0.22650000000000003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1">
        <f t="shared" si="47"/>
        <v>2</v>
      </c>
      <c r="AR8" s="33">
        <v>0.97</v>
      </c>
      <c r="AS8" s="112">
        <f>(VLOOKUP(B8,cuoc!$B$7:$P$27,14,0))*1%</f>
        <v>0.85739999999999994</v>
      </c>
      <c r="AT8" s="14">
        <f t="shared" si="48"/>
        <v>0</v>
      </c>
      <c r="AU8" s="48">
        <f t="shared" si="49"/>
        <v>0.11260000000000003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1">
        <f t="shared" si="47"/>
        <v>1.6</v>
      </c>
      <c r="AR10" s="33">
        <v>0.97</v>
      </c>
      <c r="AS10" s="112">
        <f>(VLOOKUP(B10,cuoc!$B$7:$P$27,14,0))*1%</f>
        <v>0.80620000000000003</v>
      </c>
      <c r="AT10" s="14">
        <f t="shared" si="48"/>
        <v>0</v>
      </c>
      <c r="AU10" s="48">
        <f t="shared" si="49"/>
        <v>0.16379999999999995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3</v>
      </c>
      <c r="R11" s="14">
        <f t="shared" si="34"/>
        <v>0.75</v>
      </c>
      <c r="S11" s="46">
        <f t="shared" si="35"/>
        <v>1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46">
        <f t="shared" si="39"/>
        <v>-1</v>
      </c>
      <c r="AB11" s="51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46">
        <f t="shared" si="41"/>
        <v>3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1">
        <f t="shared" si="47"/>
        <v>2</v>
      </c>
      <c r="AR11" s="33">
        <v>0.97</v>
      </c>
      <c r="AS11" s="112">
        <f>(VLOOKUP(B11,cuoc!$B$7:$P$27,14,0))*1%</f>
        <v>0.84689999999999999</v>
      </c>
      <c r="AT11" s="14">
        <f t="shared" si="48"/>
        <v>0</v>
      </c>
      <c r="AU11" s="48">
        <f t="shared" si="49"/>
        <v>0.12309999999999999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0.84279999999999999</v>
      </c>
      <c r="AT12" s="14">
        <f t="shared" si="48"/>
        <v>0</v>
      </c>
      <c r="AU12" s="48">
        <f t="shared" si="49"/>
        <v>0.12719999999999998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1</v>
      </c>
      <c r="N13" s="14">
        <f t="shared" si="32"/>
        <v>0.25</v>
      </c>
      <c r="O13" s="46">
        <f t="shared" si="33"/>
        <v>3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44">
        <f t="shared" si="37"/>
        <v>0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1">
        <f t="shared" si="47"/>
        <v>2</v>
      </c>
      <c r="AR13" s="33">
        <v>0.97</v>
      </c>
      <c r="AS13" s="112">
        <f>(VLOOKUP(B13,cuoc!$B$7:$P$27,14,0))*1%</f>
        <v>0.82200000000000006</v>
      </c>
      <c r="AT13" s="14">
        <f t="shared" si="48"/>
        <v>0</v>
      </c>
      <c r="AU13" s="48">
        <f t="shared" si="49"/>
        <v>0.14799999999999991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6</v>
      </c>
      <c r="F14" s="14">
        <f t="shared" si="28"/>
        <v>0.8571428571428571</v>
      </c>
      <c r="G14" s="46">
        <f t="shared" si="29"/>
        <v>1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44">
        <f t="shared" si="37"/>
        <v>-1</v>
      </c>
      <c r="X14" s="52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46">
        <f t="shared" si="39"/>
        <v>-8</v>
      </c>
      <c r="AB14" s="51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46">
        <f t="shared" si="41"/>
        <v>-37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1">
        <f t="shared" si="47"/>
        <v>1.4</v>
      </c>
      <c r="AR14" s="33">
        <v>0.97</v>
      </c>
      <c r="AS14" s="112">
        <f>(VLOOKUP(B14,cuoc!$B$7:$P$27,14,0))*1%</f>
        <v>0.87209999999999999</v>
      </c>
      <c r="AT14" s="14">
        <f t="shared" si="48"/>
        <v>0</v>
      </c>
      <c r="AU14" s="48">
        <f t="shared" si="49"/>
        <v>9.7899999999999987E-2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2</v>
      </c>
      <c r="N15" s="14">
        <f t="shared" si="32"/>
        <v>0.4</v>
      </c>
      <c r="O15" s="46">
        <f t="shared" si="33"/>
        <v>3</v>
      </c>
      <c r="P15" s="52">
        <f>VLOOKUP(A15,'Giao CT'!$D$6:$S$20,6,0)</f>
        <v>4</v>
      </c>
      <c r="Q15" s="58">
        <f>VLOOKUP(A15,GBOC!$E$7:$DG$29,$B$24,0)</f>
        <v>2</v>
      </c>
      <c r="R15" s="14">
        <f t="shared" si="34"/>
        <v>0.5</v>
      </c>
      <c r="S15" s="46">
        <f t="shared" si="35"/>
        <v>2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46">
        <f t="shared" si="41"/>
        <v>-21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1">
        <f t="shared" si="47"/>
        <v>2</v>
      </c>
      <c r="AR15" s="33">
        <v>0.97</v>
      </c>
      <c r="AS15" s="112">
        <f>(VLOOKUP(B15,cuoc!$B$7:$P$27,14,0))*1%</f>
        <v>0.78670000000000007</v>
      </c>
      <c r="AT15" s="14">
        <f t="shared" si="48"/>
        <v>0</v>
      </c>
      <c r="AU15" s="48">
        <f t="shared" si="49"/>
        <v>0.18329999999999991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48">
        <f t="shared" si="53"/>
        <v>1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11</v>
      </c>
      <c r="F16" s="14">
        <f t="shared" si="28"/>
        <v>1.5714285714285714</v>
      </c>
      <c r="G16" s="46">
        <f t="shared" si="29"/>
        <v>-4</v>
      </c>
      <c r="H16" s="123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46">
        <f t="shared" si="31"/>
        <v>-1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5</v>
      </c>
      <c r="R16" s="14">
        <f t="shared" si="34"/>
        <v>1.25</v>
      </c>
      <c r="S16" s="46">
        <f t="shared" si="35"/>
        <v>-1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46">
        <f t="shared" si="39"/>
        <v>-20</v>
      </c>
      <c r="AB16" s="51">
        <f>VLOOKUP(A16,'Giao CT'!$D$6:$S$20,9,0)</f>
        <v>60</v>
      </c>
      <c r="AC16" s="13">
        <f>VLOOKUP(A16,GBOC!$E$7:$DG$29,$B$27,0)</f>
        <v>172</v>
      </c>
      <c r="AD16" s="14">
        <f t="shared" si="40"/>
        <v>2.8666666666666667</v>
      </c>
      <c r="AE16" s="46">
        <f t="shared" si="41"/>
        <v>-112</v>
      </c>
      <c r="AF16" s="51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46">
        <f t="shared" si="43"/>
        <v>-13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1">
        <f t="shared" si="47"/>
        <v>2</v>
      </c>
      <c r="AR16" s="33">
        <v>0.97</v>
      </c>
      <c r="AS16" s="112">
        <f>(VLOOKUP(B16,cuoc!$B$7:$P$27,14,0))*1%</f>
        <v>0.85599999999999998</v>
      </c>
      <c r="AT16" s="14">
        <f t="shared" si="48"/>
        <v>0</v>
      </c>
      <c r="AU16" s="48">
        <f t="shared" si="49"/>
        <v>0.11399999999999999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529700544</v>
      </c>
      <c r="D19" s="125">
        <f ca="1">B19*0.968-C19</f>
        <v>93473527.255999923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900798487</v>
      </c>
      <c r="D20" s="125">
        <f ca="1">B20*0.968-C20</f>
        <v>145777318.704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6</v>
      </c>
      <c r="I7" s="180">
        <v>7</v>
      </c>
      <c r="J7" s="180">
        <v>0</v>
      </c>
      <c r="K7" s="180">
        <v>12</v>
      </c>
      <c r="L7" s="180">
        <v>200</v>
      </c>
      <c r="M7" s="180">
        <v>171.43</v>
      </c>
      <c r="N7" s="180">
        <v>0</v>
      </c>
      <c r="O7" s="180">
        <v>100</v>
      </c>
      <c r="P7" s="180">
        <v>3</v>
      </c>
      <c r="Q7" s="180">
        <v>4</v>
      </c>
      <c r="R7" s="180">
        <v>0</v>
      </c>
      <c r="S7" s="180">
        <v>6</v>
      </c>
      <c r="T7" s="180">
        <v>175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3</v>
      </c>
      <c r="AG7" s="180">
        <v>4</v>
      </c>
      <c r="AH7" s="180">
        <v>0</v>
      </c>
      <c r="AI7" s="180">
        <v>1</v>
      </c>
      <c r="AJ7" s="180">
        <v>170.83</v>
      </c>
      <c r="AK7" s="180">
        <v>175</v>
      </c>
      <c r="AL7" s="180">
        <v>0</v>
      </c>
      <c r="AM7" s="180">
        <v>100</v>
      </c>
      <c r="AN7" s="180">
        <v>3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30</v>
      </c>
      <c r="AW7" s="180">
        <v>35</v>
      </c>
      <c r="AX7" s="180">
        <v>0</v>
      </c>
      <c r="AY7" s="180">
        <v>52</v>
      </c>
      <c r="AZ7" s="180">
        <v>173.33</v>
      </c>
      <c r="BA7" s="180">
        <v>148.57</v>
      </c>
      <c r="BB7" s="180">
        <v>0</v>
      </c>
      <c r="BC7" s="180">
        <v>100</v>
      </c>
      <c r="BD7" s="180">
        <v>4</v>
      </c>
      <c r="BE7" s="180">
        <v>5</v>
      </c>
      <c r="BF7" s="180">
        <v>1</v>
      </c>
      <c r="BG7" s="180">
        <v>4</v>
      </c>
      <c r="BH7" s="180">
        <v>93.33</v>
      </c>
      <c r="BI7" s="180">
        <v>80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116.67</v>
      </c>
      <c r="BY7" s="180">
        <v>100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5</v>
      </c>
      <c r="CF7" s="180">
        <v>72.92</v>
      </c>
      <c r="CG7" s="180">
        <v>62.5</v>
      </c>
      <c r="CH7" s="180">
        <v>0</v>
      </c>
      <c r="CI7" s="180">
        <v>100</v>
      </c>
      <c r="CJ7" s="180">
        <v>3</v>
      </c>
      <c r="CK7" s="180">
        <v>4</v>
      </c>
      <c r="CL7" s="180">
        <v>0</v>
      </c>
      <c r="CM7" s="180">
        <v>9</v>
      </c>
      <c r="CN7" s="180">
        <v>262.5</v>
      </c>
      <c r="CO7" s="180">
        <v>225</v>
      </c>
      <c r="CP7" s="180">
        <v>0</v>
      </c>
      <c r="CQ7" s="180">
        <v>100</v>
      </c>
      <c r="CR7" s="180">
        <v>3</v>
      </c>
      <c r="CS7" s="180">
        <v>4</v>
      </c>
      <c r="CT7" s="180">
        <v>0</v>
      </c>
      <c r="CU7" s="180">
        <v>5</v>
      </c>
      <c r="CV7" s="180">
        <v>145.83000000000001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700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6</v>
      </c>
      <c r="I8" s="180">
        <v>7</v>
      </c>
      <c r="J8" s="180">
        <v>0</v>
      </c>
      <c r="K8" s="180">
        <v>13</v>
      </c>
      <c r="L8" s="180">
        <v>216.67</v>
      </c>
      <c r="M8" s="180">
        <v>185.71</v>
      </c>
      <c r="N8" s="180">
        <v>0</v>
      </c>
      <c r="O8" s="180">
        <v>100</v>
      </c>
      <c r="P8" s="180">
        <v>3</v>
      </c>
      <c r="Q8" s="180">
        <v>4</v>
      </c>
      <c r="R8" s="180">
        <v>1</v>
      </c>
      <c r="S8" s="180">
        <v>5</v>
      </c>
      <c r="T8" s="180">
        <v>145.83000000000001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4</v>
      </c>
      <c r="AG8" s="180">
        <v>5</v>
      </c>
      <c r="AH8" s="180">
        <v>0</v>
      </c>
      <c r="AI8" s="180">
        <v>2</v>
      </c>
      <c r="AJ8" s="180">
        <v>153.33000000000001</v>
      </c>
      <c r="AK8" s="180">
        <v>160</v>
      </c>
      <c r="AL8" s="180">
        <v>5</v>
      </c>
      <c r="AM8" s="180">
        <v>-60</v>
      </c>
      <c r="AN8" s="180">
        <v>3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26</v>
      </c>
      <c r="AW8" s="180">
        <v>30</v>
      </c>
      <c r="AX8" s="180">
        <v>0</v>
      </c>
      <c r="AY8" s="180">
        <v>71</v>
      </c>
      <c r="AZ8" s="180">
        <v>276.11</v>
      </c>
      <c r="BA8" s="180">
        <v>236.67</v>
      </c>
      <c r="BB8" s="180">
        <v>3</v>
      </c>
      <c r="BC8" s="180">
        <v>2266.67</v>
      </c>
      <c r="BD8" s="180">
        <v>4</v>
      </c>
      <c r="BE8" s="180">
        <v>5</v>
      </c>
      <c r="BF8" s="180">
        <v>1</v>
      </c>
      <c r="BG8" s="180">
        <v>5</v>
      </c>
      <c r="BH8" s="180">
        <v>116.67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145.83000000000001</v>
      </c>
      <c r="CG8" s="180">
        <v>125</v>
      </c>
      <c r="CH8" s="180">
        <v>0</v>
      </c>
      <c r="CI8" s="180">
        <v>100</v>
      </c>
      <c r="CJ8" s="180">
        <v>3</v>
      </c>
      <c r="CK8" s="180">
        <v>4</v>
      </c>
      <c r="CL8" s="180">
        <v>0</v>
      </c>
      <c r="CM8" s="180">
        <v>7</v>
      </c>
      <c r="CN8" s="180">
        <v>204.17</v>
      </c>
      <c r="CO8" s="180">
        <v>175</v>
      </c>
      <c r="CP8" s="180">
        <v>0</v>
      </c>
      <c r="CQ8" s="180">
        <v>100</v>
      </c>
      <c r="CR8" s="180">
        <v>3</v>
      </c>
      <c r="CS8" s="180">
        <v>4</v>
      </c>
      <c r="CT8" s="180">
        <v>0</v>
      </c>
      <c r="CU8" s="180">
        <v>4</v>
      </c>
      <c r="CV8" s="180">
        <v>116.67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700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6</v>
      </c>
      <c r="I9" s="180">
        <v>7</v>
      </c>
      <c r="J9" s="180">
        <v>0</v>
      </c>
      <c r="K9" s="180">
        <v>12</v>
      </c>
      <c r="L9" s="180">
        <v>200</v>
      </c>
      <c r="M9" s="180">
        <v>171.43</v>
      </c>
      <c r="N9" s="180">
        <v>0</v>
      </c>
      <c r="O9" s="180">
        <v>100</v>
      </c>
      <c r="P9" s="180">
        <v>3</v>
      </c>
      <c r="Q9" s="180">
        <v>4</v>
      </c>
      <c r="R9" s="180">
        <v>0</v>
      </c>
      <c r="S9" s="180">
        <v>4</v>
      </c>
      <c r="T9" s="180">
        <v>116.67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38.89</v>
      </c>
      <c r="AC9" s="180">
        <v>33.33</v>
      </c>
      <c r="AD9" s="180">
        <v>1</v>
      </c>
      <c r="AE9" s="180">
        <v>0</v>
      </c>
      <c r="AF9" s="180">
        <v>4</v>
      </c>
      <c r="AG9" s="180">
        <v>5</v>
      </c>
      <c r="AH9" s="180">
        <v>0</v>
      </c>
      <c r="AI9" s="180">
        <v>0</v>
      </c>
      <c r="AJ9" s="180">
        <v>200</v>
      </c>
      <c r="AK9" s="180">
        <v>200</v>
      </c>
      <c r="AL9" s="180">
        <v>1</v>
      </c>
      <c r="AM9" s="180">
        <v>-100</v>
      </c>
      <c r="AN9" s="180">
        <v>3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26</v>
      </c>
      <c r="AW9" s="180">
        <v>30</v>
      </c>
      <c r="AX9" s="180">
        <v>0</v>
      </c>
      <c r="AY9" s="180">
        <v>27</v>
      </c>
      <c r="AZ9" s="180">
        <v>105</v>
      </c>
      <c r="BA9" s="180">
        <v>90</v>
      </c>
      <c r="BB9" s="180">
        <v>0</v>
      </c>
      <c r="BC9" s="180">
        <v>100</v>
      </c>
      <c r="BD9" s="180">
        <v>4</v>
      </c>
      <c r="BE9" s="180">
        <v>5</v>
      </c>
      <c r="BF9" s="180">
        <v>1</v>
      </c>
      <c r="BG9" s="180">
        <v>5</v>
      </c>
      <c r="BH9" s="180">
        <v>116.67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175</v>
      </c>
      <c r="CG9" s="180">
        <v>150</v>
      </c>
      <c r="CH9" s="180">
        <v>0</v>
      </c>
      <c r="CI9" s="180">
        <v>100</v>
      </c>
      <c r="CJ9" s="180">
        <v>3</v>
      </c>
      <c r="CK9" s="180">
        <v>4</v>
      </c>
      <c r="CL9" s="180">
        <v>0</v>
      </c>
      <c r="CM9" s="180">
        <v>3</v>
      </c>
      <c r="CN9" s="180">
        <v>87.5</v>
      </c>
      <c r="CO9" s="180">
        <v>75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194.44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2</v>
      </c>
      <c r="DD9" s="180">
        <v>233.33</v>
      </c>
      <c r="DE9" s="180">
        <v>200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6</v>
      </c>
      <c r="I10" s="180">
        <v>7</v>
      </c>
      <c r="J10" s="180">
        <v>0</v>
      </c>
      <c r="K10" s="180">
        <v>5</v>
      </c>
      <c r="L10" s="180">
        <v>83.33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155.56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161.11000000000001</v>
      </c>
      <c r="AK10" s="180">
        <v>166.67</v>
      </c>
      <c r="AL10" s="180">
        <v>0</v>
      </c>
      <c r="AM10" s="180">
        <v>100</v>
      </c>
      <c r="AN10" s="180">
        <v>3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26</v>
      </c>
      <c r="AW10" s="180">
        <v>30</v>
      </c>
      <c r="AX10" s="180">
        <v>0</v>
      </c>
      <c r="AY10" s="180">
        <v>9</v>
      </c>
      <c r="AZ10" s="180">
        <v>35</v>
      </c>
      <c r="BA10" s="180">
        <v>30</v>
      </c>
      <c r="BB10" s="180">
        <v>3</v>
      </c>
      <c r="BC10" s="180">
        <v>200</v>
      </c>
      <c r="BD10" s="180">
        <v>3</v>
      </c>
      <c r="BE10" s="180">
        <v>4</v>
      </c>
      <c r="BF10" s="180">
        <v>0</v>
      </c>
      <c r="BG10" s="180">
        <v>2</v>
      </c>
      <c r="BH10" s="180">
        <v>58.33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3</v>
      </c>
      <c r="CK10" s="180">
        <v>4</v>
      </c>
      <c r="CL10" s="180">
        <v>0</v>
      </c>
      <c r="CM10" s="180">
        <v>3</v>
      </c>
      <c r="CN10" s="180">
        <v>87.5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6</v>
      </c>
      <c r="I11" s="180">
        <v>7</v>
      </c>
      <c r="J11" s="180">
        <v>0</v>
      </c>
      <c r="K11" s="180">
        <v>8</v>
      </c>
      <c r="L11" s="180">
        <v>133.33000000000001</v>
      </c>
      <c r="M11" s="180">
        <v>114.29</v>
      </c>
      <c r="N11" s="180">
        <v>0</v>
      </c>
      <c r="O11" s="180">
        <v>100</v>
      </c>
      <c r="P11" s="180">
        <v>3</v>
      </c>
      <c r="Q11" s="180">
        <v>4</v>
      </c>
      <c r="R11" s="180">
        <v>0</v>
      </c>
      <c r="S11" s="180">
        <v>4</v>
      </c>
      <c r="T11" s="180">
        <v>116.67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3</v>
      </c>
      <c r="AG11" s="180">
        <v>4</v>
      </c>
      <c r="AH11" s="180">
        <v>0</v>
      </c>
      <c r="AI11" s="180">
        <v>2</v>
      </c>
      <c r="AJ11" s="180">
        <v>141.66999999999999</v>
      </c>
      <c r="AK11" s="180">
        <v>150</v>
      </c>
      <c r="AL11" s="180">
        <v>2</v>
      </c>
      <c r="AM11" s="180">
        <v>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34</v>
      </c>
      <c r="AW11" s="180">
        <v>40</v>
      </c>
      <c r="AX11" s="180">
        <v>0</v>
      </c>
      <c r="AY11" s="180">
        <v>85</v>
      </c>
      <c r="AZ11" s="180">
        <v>247.92</v>
      </c>
      <c r="BA11" s="180">
        <v>212.5</v>
      </c>
      <c r="BB11" s="180">
        <v>1</v>
      </c>
      <c r="BC11" s="180">
        <v>8400</v>
      </c>
      <c r="BD11" s="180">
        <v>4</v>
      </c>
      <c r="BE11" s="180">
        <v>5</v>
      </c>
      <c r="BF11" s="180">
        <v>1</v>
      </c>
      <c r="BG11" s="180">
        <v>4</v>
      </c>
      <c r="BH11" s="180">
        <v>93.33</v>
      </c>
      <c r="BI11" s="180">
        <v>80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116.67</v>
      </c>
      <c r="BY11" s="180">
        <v>100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102.08</v>
      </c>
      <c r="CG11" s="180">
        <v>87.5</v>
      </c>
      <c r="CH11" s="180">
        <v>0</v>
      </c>
      <c r="CI11" s="180">
        <v>100</v>
      </c>
      <c r="CJ11" s="180">
        <v>3</v>
      </c>
      <c r="CK11" s="180">
        <v>4</v>
      </c>
      <c r="CL11" s="180">
        <v>0</v>
      </c>
      <c r="CM11" s="180">
        <v>3</v>
      </c>
      <c r="CN11" s="180">
        <v>87.5</v>
      </c>
      <c r="CO11" s="180">
        <v>75</v>
      </c>
      <c r="CP11" s="180">
        <v>0</v>
      </c>
      <c r="CQ11" s="180">
        <v>100</v>
      </c>
      <c r="CR11" s="180">
        <v>3</v>
      </c>
      <c r="CS11" s="180">
        <v>4</v>
      </c>
      <c r="CT11" s="180">
        <v>0</v>
      </c>
      <c r="CU11" s="180">
        <v>3</v>
      </c>
      <c r="CV11" s="180">
        <v>87.5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9</v>
      </c>
      <c r="DD11" s="180">
        <v>1050</v>
      </c>
      <c r="DE11" s="180">
        <v>900</v>
      </c>
      <c r="DF11" s="180">
        <v>1</v>
      </c>
      <c r="DG11" s="180">
        <v>800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6</v>
      </c>
      <c r="I12" s="180">
        <v>7</v>
      </c>
      <c r="J12" s="180">
        <v>2</v>
      </c>
      <c r="K12" s="180">
        <v>7</v>
      </c>
      <c r="L12" s="180">
        <v>116.67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77.78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3</v>
      </c>
      <c r="AG12" s="180">
        <v>4</v>
      </c>
      <c r="AH12" s="180">
        <v>0</v>
      </c>
      <c r="AI12" s="180">
        <v>0</v>
      </c>
      <c r="AJ12" s="180">
        <v>200</v>
      </c>
      <c r="AK12" s="180">
        <v>200</v>
      </c>
      <c r="AL12" s="180">
        <v>3</v>
      </c>
      <c r="AM12" s="180">
        <v>-100</v>
      </c>
      <c r="AN12" s="180">
        <v>3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26</v>
      </c>
      <c r="AW12" s="180">
        <v>30</v>
      </c>
      <c r="AX12" s="180">
        <v>0</v>
      </c>
      <c r="AY12" s="180">
        <v>26</v>
      </c>
      <c r="AZ12" s="180">
        <v>101.11</v>
      </c>
      <c r="BA12" s="180">
        <v>86.67</v>
      </c>
      <c r="BB12" s="180">
        <v>0</v>
      </c>
      <c r="BC12" s="180">
        <v>100</v>
      </c>
      <c r="BD12" s="180">
        <v>3</v>
      </c>
      <c r="BE12" s="180">
        <v>4</v>
      </c>
      <c r="BF12" s="180">
        <v>0</v>
      </c>
      <c r="BG12" s="180">
        <v>1</v>
      </c>
      <c r="BH12" s="180">
        <v>29.17</v>
      </c>
      <c r="BI12" s="180">
        <v>25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43.75</v>
      </c>
      <c r="CG12" s="180">
        <v>37.5</v>
      </c>
      <c r="CH12" s="180">
        <v>0</v>
      </c>
      <c r="CI12" s="180">
        <v>100</v>
      </c>
      <c r="CJ12" s="180">
        <v>3</v>
      </c>
      <c r="CK12" s="180">
        <v>4</v>
      </c>
      <c r="CL12" s="180">
        <v>0</v>
      </c>
      <c r="CM12" s="180">
        <v>2</v>
      </c>
      <c r="CN12" s="180">
        <v>58.33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3</v>
      </c>
      <c r="CV12" s="180">
        <v>116.67</v>
      </c>
      <c r="CW12" s="180">
        <v>100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350</v>
      </c>
      <c r="DE12" s="180">
        <v>300</v>
      </c>
      <c r="DF12" s="180">
        <v>0</v>
      </c>
      <c r="DG12" s="180">
        <v>100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116.67</v>
      </c>
      <c r="M13" s="180">
        <v>100</v>
      </c>
      <c r="N13" s="180">
        <v>0</v>
      </c>
      <c r="O13" s="180">
        <v>100</v>
      </c>
      <c r="P13" s="180">
        <v>3</v>
      </c>
      <c r="Q13" s="180">
        <v>4</v>
      </c>
      <c r="R13" s="180">
        <v>0</v>
      </c>
      <c r="S13" s="180">
        <v>3</v>
      </c>
      <c r="T13" s="180">
        <v>87.5</v>
      </c>
      <c r="U13" s="180">
        <v>75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4</v>
      </c>
      <c r="AG13" s="180">
        <v>5</v>
      </c>
      <c r="AH13" s="180">
        <v>0</v>
      </c>
      <c r="AI13" s="180">
        <v>2</v>
      </c>
      <c r="AJ13" s="180">
        <v>153.33000000000001</v>
      </c>
      <c r="AK13" s="180">
        <v>160</v>
      </c>
      <c r="AL13" s="180">
        <v>1</v>
      </c>
      <c r="AM13" s="180">
        <v>100</v>
      </c>
      <c r="AN13" s="180">
        <v>3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43</v>
      </c>
      <c r="AW13" s="180">
        <v>50</v>
      </c>
      <c r="AX13" s="180">
        <v>0</v>
      </c>
      <c r="AY13" s="180">
        <v>69</v>
      </c>
      <c r="AZ13" s="180">
        <v>161</v>
      </c>
      <c r="BA13" s="180">
        <v>138</v>
      </c>
      <c r="BB13" s="180">
        <v>0</v>
      </c>
      <c r="BC13" s="180">
        <v>100</v>
      </c>
      <c r="BD13" s="180">
        <v>4</v>
      </c>
      <c r="BE13" s="180">
        <v>5</v>
      </c>
      <c r="BF13" s="180">
        <v>0</v>
      </c>
      <c r="BG13" s="180">
        <v>4</v>
      </c>
      <c r="BH13" s="180">
        <v>93.33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0</v>
      </c>
      <c r="BW13" s="180">
        <v>0</v>
      </c>
      <c r="BX13" s="180">
        <v>0</v>
      </c>
      <c r="BY13" s="180">
        <v>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142.59</v>
      </c>
      <c r="CG13" s="180">
        <v>122.22</v>
      </c>
      <c r="CH13" s="180">
        <v>0</v>
      </c>
      <c r="CI13" s="180">
        <v>100</v>
      </c>
      <c r="CJ13" s="180">
        <v>4</v>
      </c>
      <c r="CK13" s="180">
        <v>5</v>
      </c>
      <c r="CL13" s="180">
        <v>0</v>
      </c>
      <c r="CM13" s="180">
        <v>1</v>
      </c>
      <c r="CN13" s="180">
        <v>23.33</v>
      </c>
      <c r="CO13" s="180">
        <v>20</v>
      </c>
      <c r="CP13" s="180">
        <v>0</v>
      </c>
      <c r="CQ13" s="180">
        <v>100</v>
      </c>
      <c r="CR13" s="180">
        <v>3</v>
      </c>
      <c r="CS13" s="180">
        <v>4</v>
      </c>
      <c r="CT13" s="180">
        <v>0</v>
      </c>
      <c r="CU13" s="180">
        <v>3</v>
      </c>
      <c r="CV13" s="180">
        <v>87.5</v>
      </c>
      <c r="CW13" s="180">
        <v>75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0</v>
      </c>
      <c r="DD13" s="180">
        <v>0</v>
      </c>
      <c r="DE13" s="180">
        <v>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6</v>
      </c>
      <c r="I14" s="180">
        <v>7</v>
      </c>
      <c r="J14" s="180">
        <v>1</v>
      </c>
      <c r="K14" s="180">
        <v>9</v>
      </c>
      <c r="L14" s="180">
        <v>150</v>
      </c>
      <c r="M14" s="180">
        <v>128.57</v>
      </c>
      <c r="N14" s="180">
        <v>0</v>
      </c>
      <c r="O14" s="180">
        <v>100</v>
      </c>
      <c r="P14" s="180">
        <v>3</v>
      </c>
      <c r="Q14" s="180">
        <v>4</v>
      </c>
      <c r="R14" s="180">
        <v>0</v>
      </c>
      <c r="S14" s="180">
        <v>5</v>
      </c>
      <c r="T14" s="180">
        <v>145.83000000000001</v>
      </c>
      <c r="U14" s="180">
        <v>125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58.33</v>
      </c>
      <c r="AC14" s="180">
        <v>50</v>
      </c>
      <c r="AD14" s="180">
        <v>0</v>
      </c>
      <c r="AE14" s="180">
        <v>100</v>
      </c>
      <c r="AF14" s="180">
        <v>3</v>
      </c>
      <c r="AG14" s="180">
        <v>4</v>
      </c>
      <c r="AH14" s="180">
        <v>0</v>
      </c>
      <c r="AI14" s="180">
        <v>2</v>
      </c>
      <c r="AJ14" s="180">
        <v>141.66999999999999</v>
      </c>
      <c r="AK14" s="180">
        <v>150</v>
      </c>
      <c r="AL14" s="180">
        <v>0</v>
      </c>
      <c r="AM14" s="180">
        <v>100</v>
      </c>
      <c r="AN14" s="180">
        <v>3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51</v>
      </c>
      <c r="AW14" s="180">
        <v>60</v>
      </c>
      <c r="AX14" s="180">
        <v>0</v>
      </c>
      <c r="AY14" s="180">
        <v>214</v>
      </c>
      <c r="AZ14" s="180">
        <v>416.11</v>
      </c>
      <c r="BA14" s="180">
        <v>356.67</v>
      </c>
      <c r="BB14" s="180">
        <v>0</v>
      </c>
      <c r="BC14" s="180">
        <v>100</v>
      </c>
      <c r="BD14" s="180">
        <v>4</v>
      </c>
      <c r="BE14" s="180">
        <v>5</v>
      </c>
      <c r="BF14" s="180">
        <v>1</v>
      </c>
      <c r="BG14" s="180">
        <v>3</v>
      </c>
      <c r="BH14" s="180">
        <v>70</v>
      </c>
      <c r="BI14" s="180">
        <v>60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700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116.67</v>
      </c>
      <c r="BY14" s="180">
        <v>100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247.92</v>
      </c>
      <c r="CG14" s="180">
        <v>212.5</v>
      </c>
      <c r="CH14" s="180">
        <v>0</v>
      </c>
      <c r="CI14" s="180">
        <v>100</v>
      </c>
      <c r="CJ14" s="180">
        <v>3</v>
      </c>
      <c r="CK14" s="180">
        <v>4</v>
      </c>
      <c r="CL14" s="180">
        <v>0</v>
      </c>
      <c r="CM14" s="180">
        <v>7</v>
      </c>
      <c r="CN14" s="180">
        <v>204.17</v>
      </c>
      <c r="CO14" s="180">
        <v>175</v>
      </c>
      <c r="CP14" s="180">
        <v>0</v>
      </c>
      <c r="CQ14" s="180">
        <v>100</v>
      </c>
      <c r="CR14" s="180">
        <v>3</v>
      </c>
      <c r="CS14" s="180">
        <v>4</v>
      </c>
      <c r="CT14" s="180">
        <v>0</v>
      </c>
      <c r="CU14" s="180">
        <v>9</v>
      </c>
      <c r="CV14" s="180">
        <v>262.5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15</v>
      </c>
      <c r="DD14" s="180">
        <v>1750</v>
      </c>
      <c r="DE14" s="180">
        <v>1500</v>
      </c>
      <c r="DF14" s="180">
        <v>2</v>
      </c>
      <c r="DG14" s="180">
        <v>650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145.83000000000001</v>
      </c>
      <c r="M15" s="180">
        <v>125</v>
      </c>
      <c r="N15" s="180">
        <v>0</v>
      </c>
      <c r="O15" s="180">
        <v>100</v>
      </c>
      <c r="P15" s="180">
        <v>3</v>
      </c>
      <c r="Q15" s="180">
        <v>4</v>
      </c>
      <c r="R15" s="180">
        <v>0</v>
      </c>
      <c r="S15" s="180">
        <v>3</v>
      </c>
      <c r="T15" s="180">
        <v>87.5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2</v>
      </c>
      <c r="AE15" s="180">
        <v>-100</v>
      </c>
      <c r="AF15" s="180">
        <v>4</v>
      </c>
      <c r="AG15" s="180">
        <v>5</v>
      </c>
      <c r="AH15" s="180">
        <v>0</v>
      </c>
      <c r="AI15" s="180">
        <v>0</v>
      </c>
      <c r="AJ15" s="180">
        <v>200</v>
      </c>
      <c r="AK15" s="180">
        <v>200</v>
      </c>
      <c r="AL15" s="180">
        <v>1</v>
      </c>
      <c r="AM15" s="180">
        <v>-100</v>
      </c>
      <c r="AN15" s="180">
        <v>3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26</v>
      </c>
      <c r="AW15" s="180">
        <v>30</v>
      </c>
      <c r="AX15" s="180">
        <v>0</v>
      </c>
      <c r="AY15" s="180">
        <v>60</v>
      </c>
      <c r="AZ15" s="180">
        <v>233.33</v>
      </c>
      <c r="BA15" s="180">
        <v>200</v>
      </c>
      <c r="BB15" s="180">
        <v>0</v>
      </c>
      <c r="BC15" s="180">
        <v>100</v>
      </c>
      <c r="BD15" s="180">
        <v>4</v>
      </c>
      <c r="BE15" s="180">
        <v>5</v>
      </c>
      <c r="BF15" s="180">
        <v>1</v>
      </c>
      <c r="BG15" s="180">
        <v>3</v>
      </c>
      <c r="BH15" s="180">
        <v>70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116.67</v>
      </c>
      <c r="BY15" s="180">
        <v>100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142.59</v>
      </c>
      <c r="CG15" s="180">
        <v>122.22</v>
      </c>
      <c r="CH15" s="180">
        <v>0</v>
      </c>
      <c r="CI15" s="180">
        <v>100</v>
      </c>
      <c r="CJ15" s="180">
        <v>4</v>
      </c>
      <c r="CK15" s="180">
        <v>5</v>
      </c>
      <c r="CL15" s="180">
        <v>0</v>
      </c>
      <c r="CM15" s="180">
        <v>6</v>
      </c>
      <c r="CN15" s="180">
        <v>140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2</v>
      </c>
      <c r="CV15" s="180">
        <v>77.78</v>
      </c>
      <c r="CW15" s="180">
        <v>66.67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116.67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6</v>
      </c>
      <c r="I16" s="180">
        <v>7</v>
      </c>
      <c r="J16" s="180">
        <v>0</v>
      </c>
      <c r="K16" s="180">
        <v>6</v>
      </c>
      <c r="L16" s="180">
        <v>100</v>
      </c>
      <c r="M16" s="180">
        <v>85.71</v>
      </c>
      <c r="N16" s="180">
        <v>0</v>
      </c>
      <c r="O16" s="180">
        <v>100</v>
      </c>
      <c r="P16" s="180">
        <v>3</v>
      </c>
      <c r="Q16" s="180">
        <v>4</v>
      </c>
      <c r="R16" s="180">
        <v>0</v>
      </c>
      <c r="S16" s="180">
        <v>2</v>
      </c>
      <c r="T16" s="180">
        <v>58.33</v>
      </c>
      <c r="U16" s="180">
        <v>50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3</v>
      </c>
      <c r="AG16" s="180">
        <v>4</v>
      </c>
      <c r="AH16" s="180">
        <v>0</v>
      </c>
      <c r="AI16" s="180">
        <v>5</v>
      </c>
      <c r="AJ16" s="180">
        <v>54.17</v>
      </c>
      <c r="AK16" s="180">
        <v>75</v>
      </c>
      <c r="AL16" s="180">
        <v>3</v>
      </c>
      <c r="AM16" s="180">
        <v>66.67</v>
      </c>
      <c r="AN16" s="180">
        <v>3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30</v>
      </c>
      <c r="AW16" s="180">
        <v>35</v>
      </c>
      <c r="AX16" s="180">
        <v>0</v>
      </c>
      <c r="AY16" s="180">
        <v>93</v>
      </c>
      <c r="AZ16" s="180">
        <v>310</v>
      </c>
      <c r="BA16" s="180">
        <v>265.70999999999998</v>
      </c>
      <c r="BB16" s="180">
        <v>0</v>
      </c>
      <c r="BC16" s="180">
        <v>100</v>
      </c>
      <c r="BD16" s="180">
        <v>4</v>
      </c>
      <c r="BE16" s="180">
        <v>5</v>
      </c>
      <c r="BF16" s="180">
        <v>0</v>
      </c>
      <c r="BG16" s="180">
        <v>2</v>
      </c>
      <c r="BH16" s="180">
        <v>46.67</v>
      </c>
      <c r="BI16" s="180">
        <v>40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233.33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116.67</v>
      </c>
      <c r="BY16" s="180">
        <v>100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87.5</v>
      </c>
      <c r="CG16" s="180">
        <v>75</v>
      </c>
      <c r="CH16" s="180">
        <v>0</v>
      </c>
      <c r="CI16" s="180">
        <v>100</v>
      </c>
      <c r="CJ16" s="180">
        <v>3</v>
      </c>
      <c r="CK16" s="180">
        <v>4</v>
      </c>
      <c r="CL16" s="180">
        <v>0</v>
      </c>
      <c r="CM16" s="180">
        <v>4</v>
      </c>
      <c r="CN16" s="180">
        <v>116.67</v>
      </c>
      <c r="CO16" s="180">
        <v>100</v>
      </c>
      <c r="CP16" s="180">
        <v>0</v>
      </c>
      <c r="CQ16" s="180">
        <v>100</v>
      </c>
      <c r="CR16" s="180">
        <v>3</v>
      </c>
      <c r="CS16" s="180">
        <v>4</v>
      </c>
      <c r="CT16" s="180">
        <v>1</v>
      </c>
      <c r="CU16" s="180">
        <v>9</v>
      </c>
      <c r="CV16" s="180">
        <v>262.5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10</v>
      </c>
      <c r="DD16" s="180">
        <v>1166.67</v>
      </c>
      <c r="DE16" s="180">
        <v>1000</v>
      </c>
      <c r="DF16" s="180">
        <v>1</v>
      </c>
      <c r="DG16" s="180">
        <v>900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6</v>
      </c>
      <c r="I17" s="180">
        <v>7</v>
      </c>
      <c r="J17" s="180">
        <v>0</v>
      </c>
      <c r="K17" s="180">
        <v>5</v>
      </c>
      <c r="L17" s="180">
        <v>83.33</v>
      </c>
      <c r="M17" s="180">
        <v>71.430000000000007</v>
      </c>
      <c r="N17" s="180">
        <v>0</v>
      </c>
      <c r="O17" s="180">
        <v>100</v>
      </c>
      <c r="P17" s="180">
        <v>3</v>
      </c>
      <c r="Q17" s="180">
        <v>4</v>
      </c>
      <c r="R17" s="180">
        <v>0</v>
      </c>
      <c r="S17" s="180">
        <v>6</v>
      </c>
      <c r="T17" s="180">
        <v>175</v>
      </c>
      <c r="U17" s="180">
        <v>150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38.89</v>
      </c>
      <c r="AC17" s="180">
        <v>33.33</v>
      </c>
      <c r="AD17" s="180">
        <v>0</v>
      </c>
      <c r="AE17" s="180">
        <v>100</v>
      </c>
      <c r="AF17" s="180">
        <v>3</v>
      </c>
      <c r="AG17" s="180">
        <v>4</v>
      </c>
      <c r="AH17" s="180">
        <v>0</v>
      </c>
      <c r="AI17" s="180">
        <v>2</v>
      </c>
      <c r="AJ17" s="180">
        <v>141.66999999999999</v>
      </c>
      <c r="AK17" s="180">
        <v>150</v>
      </c>
      <c r="AL17" s="180">
        <v>1</v>
      </c>
      <c r="AM17" s="180">
        <v>100</v>
      </c>
      <c r="AN17" s="180">
        <v>3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30</v>
      </c>
      <c r="AW17" s="180">
        <v>35</v>
      </c>
      <c r="AX17" s="180">
        <v>0</v>
      </c>
      <c r="AY17" s="180">
        <v>57</v>
      </c>
      <c r="AZ17" s="180">
        <v>190</v>
      </c>
      <c r="BA17" s="180">
        <v>162.86000000000001</v>
      </c>
      <c r="BB17" s="180">
        <v>0</v>
      </c>
      <c r="BC17" s="180">
        <v>100</v>
      </c>
      <c r="BD17" s="180">
        <v>4</v>
      </c>
      <c r="BE17" s="180">
        <v>5</v>
      </c>
      <c r="BF17" s="180">
        <v>1</v>
      </c>
      <c r="BG17" s="180">
        <v>6</v>
      </c>
      <c r="BH17" s="180">
        <v>140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0</v>
      </c>
      <c r="BW17" s="180">
        <v>0</v>
      </c>
      <c r="BX17" s="180">
        <v>0</v>
      </c>
      <c r="BY17" s="180">
        <v>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175</v>
      </c>
      <c r="CG17" s="180">
        <v>150</v>
      </c>
      <c r="CH17" s="180">
        <v>0</v>
      </c>
      <c r="CI17" s="180">
        <v>100</v>
      </c>
      <c r="CJ17" s="180">
        <v>3</v>
      </c>
      <c r="CK17" s="180">
        <v>4</v>
      </c>
      <c r="CL17" s="180">
        <v>0</v>
      </c>
      <c r="CM17" s="180">
        <v>6</v>
      </c>
      <c r="CN17" s="180">
        <v>175</v>
      </c>
      <c r="CO17" s="180">
        <v>150</v>
      </c>
      <c r="CP17" s="180">
        <v>0</v>
      </c>
      <c r="CQ17" s="180">
        <v>100</v>
      </c>
      <c r="CR17" s="180">
        <v>3</v>
      </c>
      <c r="CS17" s="180">
        <v>4</v>
      </c>
      <c r="CT17" s="180">
        <v>0</v>
      </c>
      <c r="CU17" s="180">
        <v>5</v>
      </c>
      <c r="CV17" s="180">
        <v>145.83000000000001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10</v>
      </c>
      <c r="DD17" s="180">
        <v>1166.67</v>
      </c>
      <c r="DE17" s="180">
        <v>1000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6</v>
      </c>
      <c r="I18" s="180">
        <v>7</v>
      </c>
      <c r="J18" s="180">
        <v>0</v>
      </c>
      <c r="K18" s="180">
        <v>6</v>
      </c>
      <c r="L18" s="180">
        <v>100</v>
      </c>
      <c r="M18" s="180">
        <v>85.71</v>
      </c>
      <c r="N18" s="180">
        <v>0</v>
      </c>
      <c r="O18" s="180">
        <v>100</v>
      </c>
      <c r="P18" s="180">
        <v>3</v>
      </c>
      <c r="Q18" s="180">
        <v>4</v>
      </c>
      <c r="R18" s="180">
        <v>1</v>
      </c>
      <c r="S18" s="180">
        <v>10</v>
      </c>
      <c r="T18" s="180">
        <v>291.67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38.89</v>
      </c>
      <c r="AC18" s="180">
        <v>33.33</v>
      </c>
      <c r="AD18" s="180">
        <v>0</v>
      </c>
      <c r="AE18" s="180">
        <v>100</v>
      </c>
      <c r="AF18" s="180">
        <v>4</v>
      </c>
      <c r="AG18" s="180">
        <v>5</v>
      </c>
      <c r="AH18" s="180">
        <v>0</v>
      </c>
      <c r="AI18" s="180">
        <v>3</v>
      </c>
      <c r="AJ18" s="180">
        <v>130</v>
      </c>
      <c r="AK18" s="180">
        <v>140</v>
      </c>
      <c r="AL18" s="180">
        <v>0</v>
      </c>
      <c r="AM18" s="180">
        <v>100</v>
      </c>
      <c r="AN18" s="180">
        <v>3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26</v>
      </c>
      <c r="AW18" s="180">
        <v>30</v>
      </c>
      <c r="AX18" s="180">
        <v>0</v>
      </c>
      <c r="AY18" s="180">
        <v>67</v>
      </c>
      <c r="AZ18" s="180">
        <v>260.56</v>
      </c>
      <c r="BA18" s="180">
        <v>223.33</v>
      </c>
      <c r="BB18" s="180">
        <v>0</v>
      </c>
      <c r="BC18" s="180">
        <v>100</v>
      </c>
      <c r="BD18" s="180">
        <v>4</v>
      </c>
      <c r="BE18" s="180">
        <v>5</v>
      </c>
      <c r="BF18" s="180">
        <v>1</v>
      </c>
      <c r="BG18" s="180">
        <v>3</v>
      </c>
      <c r="BH18" s="180">
        <v>70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116.67</v>
      </c>
      <c r="CG18" s="180">
        <v>100</v>
      </c>
      <c r="CH18" s="180">
        <v>0</v>
      </c>
      <c r="CI18" s="180">
        <v>100</v>
      </c>
      <c r="CJ18" s="180">
        <v>3</v>
      </c>
      <c r="CK18" s="180">
        <v>4</v>
      </c>
      <c r="CL18" s="180">
        <v>0</v>
      </c>
      <c r="CM18" s="180">
        <v>6</v>
      </c>
      <c r="CN18" s="180">
        <v>175</v>
      </c>
      <c r="CO18" s="180">
        <v>150</v>
      </c>
      <c r="CP18" s="180">
        <v>0</v>
      </c>
      <c r="CQ18" s="180">
        <v>100</v>
      </c>
      <c r="CR18" s="180">
        <v>3</v>
      </c>
      <c r="CS18" s="180">
        <v>4</v>
      </c>
      <c r="CT18" s="180">
        <v>0</v>
      </c>
      <c r="CU18" s="180">
        <v>5</v>
      </c>
      <c r="CV18" s="180">
        <v>145.83000000000001</v>
      </c>
      <c r="CW18" s="180">
        <v>125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9</v>
      </c>
      <c r="DD18" s="180">
        <v>1050</v>
      </c>
      <c r="DE18" s="180">
        <v>900</v>
      </c>
      <c r="DF18" s="180">
        <v>1</v>
      </c>
      <c r="DG18" s="180">
        <v>800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116.67</v>
      </c>
      <c r="M19" s="180">
        <v>100</v>
      </c>
      <c r="N19" s="180">
        <v>0</v>
      </c>
      <c r="O19" s="180">
        <v>100</v>
      </c>
      <c r="P19" s="180">
        <v>3</v>
      </c>
      <c r="Q19" s="180">
        <v>4</v>
      </c>
      <c r="R19" s="180">
        <v>0</v>
      </c>
      <c r="S19" s="180">
        <v>2</v>
      </c>
      <c r="T19" s="180">
        <v>58.33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4</v>
      </c>
      <c r="AG19" s="180">
        <v>5</v>
      </c>
      <c r="AH19" s="180">
        <v>0</v>
      </c>
      <c r="AI19" s="180">
        <v>2</v>
      </c>
      <c r="AJ19" s="180">
        <v>153.33000000000001</v>
      </c>
      <c r="AK19" s="180">
        <v>160</v>
      </c>
      <c r="AL19" s="180">
        <v>0</v>
      </c>
      <c r="AM19" s="180">
        <v>100</v>
      </c>
      <c r="AN19" s="180">
        <v>3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26</v>
      </c>
      <c r="AW19" s="180">
        <v>30</v>
      </c>
      <c r="AX19" s="180">
        <v>0</v>
      </c>
      <c r="AY19" s="180">
        <v>13</v>
      </c>
      <c r="AZ19" s="180">
        <v>50.56</v>
      </c>
      <c r="BA19" s="180">
        <v>43.33</v>
      </c>
      <c r="BB19" s="180">
        <v>0</v>
      </c>
      <c r="BC19" s="180">
        <v>100</v>
      </c>
      <c r="BD19" s="180">
        <v>4</v>
      </c>
      <c r="BE19" s="180">
        <v>5</v>
      </c>
      <c r="BF19" s="180">
        <v>0</v>
      </c>
      <c r="BG19" s="180">
        <v>1</v>
      </c>
      <c r="BH19" s="180">
        <v>23.33</v>
      </c>
      <c r="BI19" s="180">
        <v>20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1</v>
      </c>
      <c r="BW19" s="180">
        <v>1</v>
      </c>
      <c r="BX19" s="180">
        <v>116.67</v>
      </c>
      <c r="BY19" s="180">
        <v>100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0</v>
      </c>
      <c r="CF19" s="180">
        <v>0</v>
      </c>
      <c r="CG19" s="180">
        <v>0</v>
      </c>
      <c r="CH19" s="180">
        <v>0</v>
      </c>
      <c r="CI19" s="180">
        <v>100</v>
      </c>
      <c r="CJ19" s="180">
        <v>4</v>
      </c>
      <c r="CK19" s="180">
        <v>5</v>
      </c>
      <c r="CL19" s="180">
        <v>0</v>
      </c>
      <c r="CM19" s="180">
        <v>3</v>
      </c>
      <c r="CN19" s="180">
        <v>70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1</v>
      </c>
      <c r="CU19" s="180">
        <v>2</v>
      </c>
      <c r="CV19" s="180">
        <v>77.78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116.67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6</v>
      </c>
      <c r="I20" s="180">
        <v>7</v>
      </c>
      <c r="J20" s="180">
        <v>0</v>
      </c>
      <c r="K20" s="180">
        <v>7</v>
      </c>
      <c r="L20" s="180">
        <v>116.67</v>
      </c>
      <c r="M20" s="180">
        <v>100</v>
      </c>
      <c r="N20" s="180">
        <v>0</v>
      </c>
      <c r="O20" s="180">
        <v>100</v>
      </c>
      <c r="P20" s="180">
        <v>3</v>
      </c>
      <c r="Q20" s="180">
        <v>4</v>
      </c>
      <c r="R20" s="180">
        <v>0</v>
      </c>
      <c r="S20" s="180">
        <v>5</v>
      </c>
      <c r="T20" s="180">
        <v>145.83000000000001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3</v>
      </c>
      <c r="AG20" s="180">
        <v>4</v>
      </c>
      <c r="AH20" s="180">
        <v>0</v>
      </c>
      <c r="AI20" s="180">
        <v>0</v>
      </c>
      <c r="AJ20" s="180">
        <v>200</v>
      </c>
      <c r="AK20" s="180">
        <v>200</v>
      </c>
      <c r="AL20" s="180">
        <v>0</v>
      </c>
      <c r="AM20" s="180">
        <v>100</v>
      </c>
      <c r="AN20" s="180">
        <v>3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26</v>
      </c>
      <c r="AW20" s="180">
        <v>30</v>
      </c>
      <c r="AX20" s="180">
        <v>0</v>
      </c>
      <c r="AY20" s="180">
        <v>51</v>
      </c>
      <c r="AZ20" s="180">
        <v>198.33</v>
      </c>
      <c r="BA20" s="180">
        <v>170</v>
      </c>
      <c r="BB20" s="180">
        <v>0</v>
      </c>
      <c r="BC20" s="180">
        <v>100</v>
      </c>
      <c r="BD20" s="180">
        <v>4</v>
      </c>
      <c r="BE20" s="180">
        <v>5</v>
      </c>
      <c r="BF20" s="180">
        <v>1</v>
      </c>
      <c r="BG20" s="180">
        <v>2</v>
      </c>
      <c r="BH20" s="180">
        <v>46.67</v>
      </c>
      <c r="BI20" s="180">
        <v>40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0</v>
      </c>
      <c r="BW20" s="180">
        <v>0</v>
      </c>
      <c r="BX20" s="180">
        <v>0</v>
      </c>
      <c r="BY20" s="180">
        <v>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72.92</v>
      </c>
      <c r="CG20" s="180">
        <v>62.5</v>
      </c>
      <c r="CH20" s="180">
        <v>0</v>
      </c>
      <c r="CI20" s="180">
        <v>100</v>
      </c>
      <c r="CJ20" s="180">
        <v>3</v>
      </c>
      <c r="CK20" s="180">
        <v>4</v>
      </c>
      <c r="CL20" s="180">
        <v>0</v>
      </c>
      <c r="CM20" s="180">
        <v>2</v>
      </c>
      <c r="CN20" s="180">
        <v>58.33</v>
      </c>
      <c r="CO20" s="180">
        <v>50</v>
      </c>
      <c r="CP20" s="180">
        <v>1</v>
      </c>
      <c r="CQ20" s="180">
        <v>100</v>
      </c>
      <c r="CR20" s="180">
        <v>3</v>
      </c>
      <c r="CS20" s="180">
        <v>4</v>
      </c>
      <c r="CT20" s="180">
        <v>0</v>
      </c>
      <c r="CU20" s="180">
        <v>4</v>
      </c>
      <c r="CV20" s="180">
        <v>116.67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116.67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4</v>
      </c>
      <c r="I21" s="180">
        <v>5</v>
      </c>
      <c r="J21" s="180">
        <v>0</v>
      </c>
      <c r="K21" s="180">
        <v>3</v>
      </c>
      <c r="L21" s="180">
        <v>70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116.67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1</v>
      </c>
      <c r="AJ21" s="180">
        <v>161.11000000000001</v>
      </c>
      <c r="AK21" s="180">
        <v>166.67</v>
      </c>
      <c r="AL21" s="180">
        <v>1</v>
      </c>
      <c r="AM21" s="180">
        <v>0</v>
      </c>
      <c r="AN21" s="180">
        <v>3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17</v>
      </c>
      <c r="AW21" s="180">
        <v>20</v>
      </c>
      <c r="AX21" s="180">
        <v>0</v>
      </c>
      <c r="AY21" s="180">
        <v>15</v>
      </c>
      <c r="AZ21" s="180">
        <v>87.5</v>
      </c>
      <c r="BA21" s="180">
        <v>75</v>
      </c>
      <c r="BB21" s="180">
        <v>0</v>
      </c>
      <c r="BC21" s="180">
        <v>100</v>
      </c>
      <c r="BD21" s="180">
        <v>4</v>
      </c>
      <c r="BE21" s="180">
        <v>5</v>
      </c>
      <c r="BF21" s="180">
        <v>1</v>
      </c>
      <c r="BG21" s="180">
        <v>1</v>
      </c>
      <c r="BH21" s="180">
        <v>23.33</v>
      </c>
      <c r="BI21" s="180">
        <v>20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14.58</v>
      </c>
      <c r="CG21" s="180">
        <v>12.5</v>
      </c>
      <c r="CH21" s="180">
        <v>0</v>
      </c>
      <c r="CI21" s="180">
        <v>100</v>
      </c>
      <c r="CJ21" s="180">
        <v>3</v>
      </c>
      <c r="CK21" s="180">
        <v>4</v>
      </c>
      <c r="CL21" s="180">
        <v>0</v>
      </c>
      <c r="CM21" s="180">
        <v>3</v>
      </c>
      <c r="CN21" s="180">
        <v>87.5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2</v>
      </c>
      <c r="CU21" s="180">
        <v>4</v>
      </c>
      <c r="CV21" s="180">
        <v>155.56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2</v>
      </c>
      <c r="DD21" s="180">
        <v>233.33</v>
      </c>
      <c r="DE21" s="180">
        <v>200</v>
      </c>
      <c r="DF21" s="180">
        <v>1</v>
      </c>
      <c r="DG21" s="180">
        <v>100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116.67</v>
      </c>
      <c r="M22" s="180">
        <v>100</v>
      </c>
      <c r="N22" s="180">
        <v>0</v>
      </c>
      <c r="O22" s="180">
        <v>100</v>
      </c>
      <c r="P22" s="180">
        <v>3</v>
      </c>
      <c r="Q22" s="180">
        <v>4</v>
      </c>
      <c r="R22" s="180">
        <v>0</v>
      </c>
      <c r="S22" s="180">
        <v>6</v>
      </c>
      <c r="T22" s="180">
        <v>175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4</v>
      </c>
      <c r="AG22" s="180">
        <v>5</v>
      </c>
      <c r="AH22" s="180">
        <v>0</v>
      </c>
      <c r="AI22" s="180">
        <v>0</v>
      </c>
      <c r="AJ22" s="180">
        <v>200</v>
      </c>
      <c r="AK22" s="180">
        <v>200</v>
      </c>
      <c r="AL22" s="180">
        <v>0</v>
      </c>
      <c r="AM22" s="180">
        <v>100</v>
      </c>
      <c r="AN22" s="180">
        <v>3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26</v>
      </c>
      <c r="AW22" s="180">
        <v>30</v>
      </c>
      <c r="AX22" s="180">
        <v>0</v>
      </c>
      <c r="AY22" s="180">
        <v>61</v>
      </c>
      <c r="AZ22" s="180">
        <v>237.22</v>
      </c>
      <c r="BA22" s="180">
        <v>203.33</v>
      </c>
      <c r="BB22" s="180">
        <v>0</v>
      </c>
      <c r="BC22" s="180">
        <v>100</v>
      </c>
      <c r="BD22" s="180">
        <v>4</v>
      </c>
      <c r="BE22" s="180">
        <v>5</v>
      </c>
      <c r="BF22" s="180">
        <v>0</v>
      </c>
      <c r="BG22" s="180">
        <v>3</v>
      </c>
      <c r="BH22" s="180">
        <v>70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233.33</v>
      </c>
      <c r="BY22" s="180">
        <v>200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142.59</v>
      </c>
      <c r="CG22" s="180">
        <v>122.22</v>
      </c>
      <c r="CH22" s="180">
        <v>0</v>
      </c>
      <c r="CI22" s="180">
        <v>100</v>
      </c>
      <c r="CJ22" s="180">
        <v>4</v>
      </c>
      <c r="CK22" s="180">
        <v>5</v>
      </c>
      <c r="CL22" s="180">
        <v>1</v>
      </c>
      <c r="CM22" s="180">
        <v>4</v>
      </c>
      <c r="CN22" s="180">
        <v>93.33</v>
      </c>
      <c r="CO22" s="180">
        <v>80</v>
      </c>
      <c r="CP22" s="180">
        <v>0</v>
      </c>
      <c r="CQ22" s="180">
        <v>100</v>
      </c>
      <c r="CR22" s="180">
        <v>3</v>
      </c>
      <c r="CS22" s="180">
        <v>4</v>
      </c>
      <c r="CT22" s="180">
        <v>0</v>
      </c>
      <c r="CU22" s="180">
        <v>4</v>
      </c>
      <c r="CV22" s="180">
        <v>116.67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233.33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6</v>
      </c>
      <c r="I23" s="180">
        <v>7</v>
      </c>
      <c r="J23" s="180">
        <v>0</v>
      </c>
      <c r="K23" s="180">
        <v>11</v>
      </c>
      <c r="L23" s="180">
        <v>183.33</v>
      </c>
      <c r="M23" s="180">
        <v>157.13999999999999</v>
      </c>
      <c r="N23" s="180">
        <v>0</v>
      </c>
      <c r="O23" s="180">
        <v>100</v>
      </c>
      <c r="P23" s="180">
        <v>3</v>
      </c>
      <c r="Q23" s="180">
        <v>4</v>
      </c>
      <c r="R23" s="180">
        <v>0</v>
      </c>
      <c r="S23" s="180">
        <v>5</v>
      </c>
      <c r="T23" s="180">
        <v>145.83000000000001</v>
      </c>
      <c r="U23" s="180">
        <v>125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4</v>
      </c>
      <c r="AG23" s="180">
        <v>5</v>
      </c>
      <c r="AH23" s="180">
        <v>0</v>
      </c>
      <c r="AI23" s="180">
        <v>0</v>
      </c>
      <c r="AJ23" s="180">
        <v>200</v>
      </c>
      <c r="AK23" s="180">
        <v>200</v>
      </c>
      <c r="AL23" s="180">
        <v>2</v>
      </c>
      <c r="AM23" s="180">
        <v>-100</v>
      </c>
      <c r="AN23" s="180">
        <v>3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51</v>
      </c>
      <c r="AW23" s="180">
        <v>60</v>
      </c>
      <c r="AX23" s="180">
        <v>0</v>
      </c>
      <c r="AY23" s="180">
        <v>172</v>
      </c>
      <c r="AZ23" s="180">
        <v>334.44</v>
      </c>
      <c r="BA23" s="180">
        <v>286.67</v>
      </c>
      <c r="BB23" s="180">
        <v>0</v>
      </c>
      <c r="BC23" s="180">
        <v>100</v>
      </c>
      <c r="BD23" s="180">
        <v>4</v>
      </c>
      <c r="BE23" s="180">
        <v>5</v>
      </c>
      <c r="BF23" s="180">
        <v>1</v>
      </c>
      <c r="BG23" s="180">
        <v>4</v>
      </c>
      <c r="BH23" s="180">
        <v>93.33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116.67</v>
      </c>
      <c r="BY23" s="180">
        <v>100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21</v>
      </c>
      <c r="CF23" s="180">
        <v>306.25</v>
      </c>
      <c r="CG23" s="180">
        <v>262.5</v>
      </c>
      <c r="CH23" s="180">
        <v>0</v>
      </c>
      <c r="CI23" s="180">
        <v>100</v>
      </c>
      <c r="CJ23" s="180">
        <v>3</v>
      </c>
      <c r="CK23" s="180">
        <v>4</v>
      </c>
      <c r="CL23" s="180">
        <v>0</v>
      </c>
      <c r="CM23" s="180">
        <v>5</v>
      </c>
      <c r="CN23" s="180">
        <v>145.83000000000001</v>
      </c>
      <c r="CO23" s="180">
        <v>125</v>
      </c>
      <c r="CP23" s="180">
        <v>0</v>
      </c>
      <c r="CQ23" s="180">
        <v>100</v>
      </c>
      <c r="CR23" s="180">
        <v>3</v>
      </c>
      <c r="CS23" s="180">
        <v>4</v>
      </c>
      <c r="CT23" s="180">
        <v>1</v>
      </c>
      <c r="CU23" s="180">
        <v>9</v>
      </c>
      <c r="CV23" s="180">
        <v>262.5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21</v>
      </c>
      <c r="DD23" s="180">
        <v>2450</v>
      </c>
      <c r="DE23" s="180">
        <v>2100</v>
      </c>
      <c r="DF23" s="180">
        <v>2</v>
      </c>
      <c r="DG23" s="180">
        <v>950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155.56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4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12</v>
      </c>
      <c r="AW24" s="180">
        <v>14</v>
      </c>
      <c r="AX24" s="180">
        <v>0</v>
      </c>
      <c r="AY24" s="180">
        <v>15</v>
      </c>
      <c r="AZ24" s="180">
        <v>125</v>
      </c>
      <c r="BA24" s="180">
        <v>107.14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2</v>
      </c>
      <c r="BH24" s="180">
        <v>116.67</v>
      </c>
      <c r="BI24" s="180">
        <v>100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0</v>
      </c>
      <c r="BW24" s="180">
        <v>0</v>
      </c>
      <c r="BX24" s="180">
        <v>0</v>
      </c>
      <c r="BY24" s="180">
        <v>0</v>
      </c>
      <c r="BZ24" s="180">
        <v>0</v>
      </c>
      <c r="CA24" s="180">
        <v>100</v>
      </c>
      <c r="CB24" s="180">
        <v>4</v>
      </c>
      <c r="CC24" s="180">
        <v>5</v>
      </c>
      <c r="CD24" s="180">
        <v>0</v>
      </c>
      <c r="CE24" s="180">
        <v>0</v>
      </c>
      <c r="CF24" s="180">
        <v>0</v>
      </c>
      <c r="CG24" s="180">
        <v>0</v>
      </c>
      <c r="CH24" s="180">
        <v>0</v>
      </c>
      <c r="CI24" s="180">
        <v>100</v>
      </c>
      <c r="CJ24" s="180">
        <v>3</v>
      </c>
      <c r="CK24" s="180">
        <v>3</v>
      </c>
      <c r="CL24" s="180">
        <v>1</v>
      </c>
      <c r="CM24" s="180">
        <v>1</v>
      </c>
      <c r="CN24" s="180">
        <v>38.89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77.78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0</v>
      </c>
      <c r="DD24" s="180">
        <v>0</v>
      </c>
      <c r="DE24" s="180">
        <v>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179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1166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5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103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220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2</v>
      </c>
      <c r="AE26" s="180">
        <v>-50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3</v>
      </c>
      <c r="I27" s="180">
        <v>4</v>
      </c>
      <c r="J27" s="180">
        <v>0</v>
      </c>
      <c r="K27" s="180">
        <v>3</v>
      </c>
      <c r="L27" s="180">
        <v>87.5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233.33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1</v>
      </c>
      <c r="AJ27" s="180">
        <v>141.66999999999999</v>
      </c>
      <c r="AK27" s="180">
        <v>150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18</v>
      </c>
      <c r="AW27" s="180">
        <v>21</v>
      </c>
      <c r="AX27" s="180">
        <v>0</v>
      </c>
      <c r="AY27" s="180">
        <v>30</v>
      </c>
      <c r="AZ27" s="180">
        <v>166.67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38.89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116.67</v>
      </c>
      <c r="BY27" s="180">
        <v>100</v>
      </c>
      <c r="BZ27" s="180">
        <v>0</v>
      </c>
      <c r="CA27" s="180">
        <v>100</v>
      </c>
      <c r="CB27" s="180">
        <v>5</v>
      </c>
      <c r="CC27" s="180">
        <v>6</v>
      </c>
      <c r="CD27" s="180">
        <v>0</v>
      </c>
      <c r="CE27" s="180">
        <v>6</v>
      </c>
      <c r="CF27" s="180">
        <v>116.67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77.78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1</v>
      </c>
      <c r="CU27" s="180">
        <v>2</v>
      </c>
      <c r="CV27" s="180">
        <v>77.78</v>
      </c>
      <c r="CW27" s="180">
        <v>66.67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350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67</v>
      </c>
      <c r="F28" s="179" t="s">
        <v>199</v>
      </c>
      <c r="G28" s="179" t="s">
        <v>128</v>
      </c>
      <c r="H28" s="180">
        <v>7</v>
      </c>
      <c r="I28" s="180">
        <v>8</v>
      </c>
      <c r="J28" s="180">
        <v>1</v>
      </c>
      <c r="K28" s="180">
        <v>8</v>
      </c>
      <c r="L28" s="180">
        <v>116.67</v>
      </c>
      <c r="M28" s="180">
        <v>100</v>
      </c>
      <c r="N28" s="180">
        <v>0</v>
      </c>
      <c r="O28" s="180">
        <v>100</v>
      </c>
      <c r="P28" s="180">
        <v>3</v>
      </c>
      <c r="Q28" s="180">
        <v>4</v>
      </c>
      <c r="R28" s="180">
        <v>0</v>
      </c>
      <c r="S28" s="180">
        <v>6</v>
      </c>
      <c r="T28" s="180">
        <v>175</v>
      </c>
      <c r="U28" s="180">
        <v>150</v>
      </c>
      <c r="V28" s="180">
        <v>0</v>
      </c>
      <c r="W28" s="180">
        <v>100</v>
      </c>
      <c r="X28" s="180">
        <v>2</v>
      </c>
      <c r="Y28" s="180">
        <v>2</v>
      </c>
      <c r="Z28" s="180">
        <v>0</v>
      </c>
      <c r="AA28" s="180">
        <v>0</v>
      </c>
      <c r="AB28" s="180">
        <v>0</v>
      </c>
      <c r="AC28" s="180">
        <v>0</v>
      </c>
      <c r="AD28" s="180">
        <v>1</v>
      </c>
      <c r="AE28" s="180">
        <v>-100</v>
      </c>
      <c r="AF28" s="180">
        <v>4</v>
      </c>
      <c r="AG28" s="180">
        <v>5</v>
      </c>
      <c r="AH28" s="180">
        <v>0</v>
      </c>
      <c r="AI28" s="180">
        <v>3</v>
      </c>
      <c r="AJ28" s="180">
        <v>130</v>
      </c>
      <c r="AK28" s="180">
        <v>140</v>
      </c>
      <c r="AL28" s="180">
        <v>1</v>
      </c>
      <c r="AM28" s="180">
        <v>200</v>
      </c>
      <c r="AN28" s="180">
        <v>3</v>
      </c>
      <c r="AO28" s="180">
        <v>4</v>
      </c>
      <c r="AP28" s="180">
        <v>0</v>
      </c>
      <c r="AQ28" s="180">
        <v>1</v>
      </c>
      <c r="AR28" s="180">
        <v>29.17</v>
      </c>
      <c r="AS28" s="180">
        <v>25</v>
      </c>
      <c r="AT28" s="180">
        <v>0</v>
      </c>
      <c r="AU28" s="180">
        <v>100</v>
      </c>
      <c r="AV28" s="180">
        <v>26</v>
      </c>
      <c r="AW28" s="180">
        <v>30</v>
      </c>
      <c r="AX28" s="180">
        <v>0</v>
      </c>
      <c r="AY28" s="180">
        <v>33</v>
      </c>
      <c r="AZ28" s="180">
        <v>128.33000000000001</v>
      </c>
      <c r="BA28" s="180">
        <v>110</v>
      </c>
      <c r="BB28" s="180">
        <v>0</v>
      </c>
      <c r="BC28" s="180">
        <v>100</v>
      </c>
      <c r="BD28" s="180">
        <v>4</v>
      </c>
      <c r="BE28" s="180">
        <v>5</v>
      </c>
      <c r="BF28" s="180">
        <v>1</v>
      </c>
      <c r="BG28" s="180">
        <v>5</v>
      </c>
      <c r="BH28" s="180">
        <v>116.67</v>
      </c>
      <c r="BI28" s="180">
        <v>100</v>
      </c>
      <c r="BJ28" s="180">
        <v>0</v>
      </c>
      <c r="BK28" s="180">
        <v>100</v>
      </c>
      <c r="BL28" s="180">
        <v>0</v>
      </c>
      <c r="BM28" s="180">
        <v>0</v>
      </c>
      <c r="BN28" s="180">
        <v>0</v>
      </c>
      <c r="BO28" s="180">
        <v>0</v>
      </c>
      <c r="BP28" s="180">
        <v>100</v>
      </c>
      <c r="BQ28" s="180">
        <v>100</v>
      </c>
      <c r="BR28" s="180">
        <v>0</v>
      </c>
      <c r="BS28" s="180">
        <v>100</v>
      </c>
      <c r="BT28" s="180">
        <v>1</v>
      </c>
      <c r="BU28" s="180">
        <v>1</v>
      </c>
      <c r="BV28" s="180">
        <v>0</v>
      </c>
      <c r="BW28" s="180">
        <v>1</v>
      </c>
      <c r="BX28" s="180">
        <v>116.67</v>
      </c>
      <c r="BY28" s="180">
        <v>100</v>
      </c>
      <c r="BZ28" s="180">
        <v>0</v>
      </c>
      <c r="CA28" s="180">
        <v>100</v>
      </c>
      <c r="CB28" s="180">
        <v>8</v>
      </c>
      <c r="CC28" s="180">
        <v>9</v>
      </c>
      <c r="CD28" s="180">
        <v>0</v>
      </c>
      <c r="CE28" s="180">
        <v>12</v>
      </c>
      <c r="CF28" s="180">
        <v>155.56</v>
      </c>
      <c r="CG28" s="180">
        <v>133.33000000000001</v>
      </c>
      <c r="CH28" s="180">
        <v>0</v>
      </c>
      <c r="CI28" s="180">
        <v>100</v>
      </c>
      <c r="CJ28" s="180">
        <v>4</v>
      </c>
      <c r="CK28" s="180">
        <v>5</v>
      </c>
      <c r="CL28" s="180">
        <v>0</v>
      </c>
      <c r="CM28" s="180">
        <v>6</v>
      </c>
      <c r="CN28" s="180">
        <v>140</v>
      </c>
      <c r="CO28" s="180">
        <v>120</v>
      </c>
      <c r="CP28" s="180">
        <v>0</v>
      </c>
      <c r="CQ28" s="180">
        <v>100</v>
      </c>
      <c r="CR28" s="180">
        <v>3</v>
      </c>
      <c r="CS28" s="180">
        <v>4</v>
      </c>
      <c r="CT28" s="180">
        <v>0</v>
      </c>
      <c r="CU28" s="180">
        <v>4</v>
      </c>
      <c r="CV28" s="180">
        <v>116.67</v>
      </c>
      <c r="CW28" s="180">
        <v>100</v>
      </c>
      <c r="CX28" s="180">
        <v>0</v>
      </c>
      <c r="CY28" s="180">
        <v>100</v>
      </c>
      <c r="CZ28" s="180">
        <v>1</v>
      </c>
      <c r="DA28" s="180">
        <v>1</v>
      </c>
      <c r="DB28" s="180">
        <v>0</v>
      </c>
      <c r="DC28" s="180">
        <v>1</v>
      </c>
      <c r="DD28" s="180">
        <v>116.67</v>
      </c>
      <c r="DE28" s="180">
        <v>100</v>
      </c>
      <c r="DF28" s="180">
        <v>0</v>
      </c>
      <c r="DG28" s="180">
        <v>100</v>
      </c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82" t="s">
        <v>253</v>
      </c>
      <c r="F29" s="182" t="s">
        <v>254</v>
      </c>
      <c r="G29" s="182" t="s">
        <v>179</v>
      </c>
      <c r="H29" s="180">
        <v>3</v>
      </c>
      <c r="I29" s="180">
        <v>3</v>
      </c>
      <c r="J29" s="180">
        <v>1</v>
      </c>
      <c r="K29" s="180">
        <v>3</v>
      </c>
      <c r="L29" s="180">
        <v>116.67</v>
      </c>
      <c r="M29" s="180">
        <v>100</v>
      </c>
      <c r="N29" s="180">
        <v>0</v>
      </c>
      <c r="O29" s="180">
        <v>100</v>
      </c>
      <c r="P29" s="180">
        <v>2</v>
      </c>
      <c r="Q29" s="180">
        <v>2</v>
      </c>
      <c r="R29" s="180">
        <v>0</v>
      </c>
      <c r="S29" s="180">
        <v>2</v>
      </c>
      <c r="T29" s="180">
        <v>116.67</v>
      </c>
      <c r="U29" s="180">
        <v>100</v>
      </c>
      <c r="V29" s="180">
        <v>0</v>
      </c>
      <c r="W29" s="180">
        <v>100</v>
      </c>
      <c r="X29" s="180">
        <v>1</v>
      </c>
      <c r="Y29" s="180">
        <v>1</v>
      </c>
      <c r="Z29" s="180">
        <v>0</v>
      </c>
      <c r="AA29" s="180">
        <v>0</v>
      </c>
      <c r="AB29" s="180">
        <v>0</v>
      </c>
      <c r="AC29" s="180">
        <v>0</v>
      </c>
      <c r="AD29" s="180">
        <v>0</v>
      </c>
      <c r="AE29" s="180">
        <v>100</v>
      </c>
      <c r="AF29" s="180">
        <v>2</v>
      </c>
      <c r="AG29" s="180">
        <v>2</v>
      </c>
      <c r="AH29" s="180">
        <v>0</v>
      </c>
      <c r="AI29" s="180">
        <v>0</v>
      </c>
      <c r="AJ29" s="180">
        <v>200</v>
      </c>
      <c r="AK29" s="180">
        <v>200</v>
      </c>
      <c r="AL29" s="180">
        <v>0</v>
      </c>
      <c r="AM29" s="180">
        <v>100</v>
      </c>
      <c r="AN29" s="180">
        <v>3</v>
      </c>
      <c r="AO29" s="180">
        <v>3</v>
      </c>
      <c r="AP29" s="180">
        <v>0</v>
      </c>
      <c r="AQ29" s="180">
        <v>0</v>
      </c>
      <c r="AR29" s="180">
        <v>0</v>
      </c>
      <c r="AS29" s="180">
        <v>0</v>
      </c>
      <c r="AT29" s="180">
        <v>0</v>
      </c>
      <c r="AU29" s="180">
        <v>100</v>
      </c>
      <c r="AV29" s="180">
        <v>12</v>
      </c>
      <c r="AW29" s="180">
        <v>14</v>
      </c>
      <c r="AX29" s="180">
        <v>0</v>
      </c>
      <c r="AY29" s="180">
        <v>13</v>
      </c>
      <c r="AZ29" s="180">
        <v>108.33</v>
      </c>
      <c r="BA29" s="180">
        <v>92.86</v>
      </c>
      <c r="BB29" s="180">
        <v>0</v>
      </c>
      <c r="BC29" s="180">
        <v>100</v>
      </c>
      <c r="BD29" s="180">
        <v>2</v>
      </c>
      <c r="BE29" s="180">
        <v>2</v>
      </c>
      <c r="BF29" s="180">
        <v>0</v>
      </c>
      <c r="BG29" s="180">
        <v>0</v>
      </c>
      <c r="BH29" s="180">
        <v>0</v>
      </c>
      <c r="BI29" s="180">
        <v>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1</v>
      </c>
      <c r="BW29" s="180">
        <v>1</v>
      </c>
      <c r="BX29" s="180">
        <v>116.67</v>
      </c>
      <c r="BY29" s="180">
        <v>100</v>
      </c>
      <c r="BZ29" s="180">
        <v>1</v>
      </c>
      <c r="CA29" s="180">
        <v>0</v>
      </c>
      <c r="CB29" s="180">
        <v>4</v>
      </c>
      <c r="CC29" s="180">
        <v>5</v>
      </c>
      <c r="CD29" s="180">
        <v>0</v>
      </c>
      <c r="CE29" s="180">
        <v>3</v>
      </c>
      <c r="CF29" s="180">
        <v>70</v>
      </c>
      <c r="CG29" s="180">
        <v>60</v>
      </c>
      <c r="CH29" s="180">
        <v>0</v>
      </c>
      <c r="CI29" s="180">
        <v>100</v>
      </c>
      <c r="CJ29" s="180">
        <v>3</v>
      </c>
      <c r="CK29" s="180">
        <v>3</v>
      </c>
      <c r="CL29" s="180">
        <v>0</v>
      </c>
      <c r="CM29" s="180">
        <v>1</v>
      </c>
      <c r="CN29" s="180">
        <v>38.89</v>
      </c>
      <c r="CO29" s="180">
        <v>33.33</v>
      </c>
      <c r="CP29" s="180">
        <v>0</v>
      </c>
      <c r="CQ29" s="180">
        <v>100</v>
      </c>
      <c r="CR29" s="180">
        <v>3</v>
      </c>
      <c r="CS29" s="180">
        <v>3</v>
      </c>
      <c r="CT29" s="180">
        <v>0</v>
      </c>
      <c r="CU29" s="180">
        <v>4</v>
      </c>
      <c r="CV29" s="180">
        <v>155.56</v>
      </c>
      <c r="CW29" s="180">
        <v>133.33000000000001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116.67</v>
      </c>
      <c r="DE29" s="180">
        <v>100</v>
      </c>
      <c r="DF29" s="180">
        <v>0</v>
      </c>
      <c r="DG29" s="180">
        <v>100</v>
      </c>
    </row>
  </sheetData>
  <autoFilter ref="A6:DG6" xr:uid="{035AF4C2-379E-4E05-A870-198385941EC5}"/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6" t="s">
        <v>5</v>
      </c>
      <c r="C3" s="84" t="s">
        <v>200</v>
      </c>
      <c r="D3" s="84" t="s">
        <v>201</v>
      </c>
      <c r="E3" s="230" t="s">
        <v>202</v>
      </c>
      <c r="F3" s="228" t="s">
        <v>6</v>
      </c>
      <c r="G3" s="228" t="s">
        <v>7</v>
      </c>
      <c r="H3" s="228" t="s">
        <v>8</v>
      </c>
      <c r="I3" s="228" t="s">
        <v>9</v>
      </c>
      <c r="J3" s="228" t="s">
        <v>10</v>
      </c>
      <c r="K3" s="228" t="s">
        <v>11</v>
      </c>
      <c r="L3" s="228" t="s">
        <v>12</v>
      </c>
      <c r="M3" s="228" t="s">
        <v>203</v>
      </c>
      <c r="N3" s="228" t="s">
        <v>255</v>
      </c>
      <c r="O3" s="228" t="s">
        <v>14</v>
      </c>
      <c r="P3" s="228" t="s">
        <v>15</v>
      </c>
      <c r="Q3" s="228" t="s">
        <v>16</v>
      </c>
      <c r="R3" s="228" t="s">
        <v>17</v>
      </c>
      <c r="S3" s="228" t="s">
        <v>18</v>
      </c>
      <c r="T3" s="82"/>
    </row>
    <row r="4" spans="1:20" ht="21" customHeight="1" x14ac:dyDescent="0.45">
      <c r="A4" s="83"/>
      <c r="B4" s="227"/>
      <c r="C4" s="84"/>
      <c r="D4" s="84"/>
      <c r="E4" s="231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41" t="s">
        <v>209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M1" s="244" t="s">
        <v>210</v>
      </c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</row>
    <row r="2" spans="1:48" ht="24.5" customHeight="1" x14ac:dyDescent="0.45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</row>
    <row r="3" spans="1:48" ht="26.25" customHeight="1" x14ac:dyDescent="0.45">
      <c r="A3" s="238" t="s">
        <v>0</v>
      </c>
      <c r="B3" s="239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3" t="s">
        <v>34</v>
      </c>
      <c r="N3" s="185" t="s">
        <v>219</v>
      </c>
      <c r="O3" s="186"/>
      <c r="P3" s="186"/>
      <c r="Q3" s="186"/>
      <c r="R3" s="236" t="s">
        <v>220</v>
      </c>
      <c r="S3" s="185" t="s">
        <v>221</v>
      </c>
      <c r="T3" s="186"/>
      <c r="U3" s="186"/>
      <c r="V3" s="186"/>
      <c r="W3" s="236" t="s">
        <v>220</v>
      </c>
      <c r="X3" s="198" t="s">
        <v>41</v>
      </c>
      <c r="Y3" s="199"/>
      <c r="Z3" s="199"/>
      <c r="AA3" s="236" t="s">
        <v>220</v>
      </c>
      <c r="AB3" s="65"/>
      <c r="AC3" s="185" t="s">
        <v>42</v>
      </c>
      <c r="AD3" s="186"/>
      <c r="AE3" s="186"/>
      <c r="AF3" s="186"/>
      <c r="AG3" s="185" t="s">
        <v>43</v>
      </c>
      <c r="AH3" s="186"/>
      <c r="AI3" s="186"/>
      <c r="AJ3" s="186"/>
      <c r="AK3" s="185" t="s">
        <v>44</v>
      </c>
      <c r="AL3" s="186"/>
      <c r="AM3" s="186"/>
      <c r="AN3" s="186"/>
      <c r="AO3" s="185" t="s">
        <v>46</v>
      </c>
      <c r="AP3" s="186"/>
      <c r="AQ3" s="186"/>
      <c r="AR3" s="186"/>
      <c r="AS3" s="185" t="s">
        <v>47</v>
      </c>
      <c r="AT3" s="186"/>
      <c r="AU3" s="186"/>
      <c r="AV3" s="186"/>
    </row>
    <row r="4" spans="1:48" ht="22.25" customHeight="1" x14ac:dyDescent="0.45">
      <c r="A4" s="238"/>
      <c r="B4" s="240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3"/>
      <c r="N4" s="8" t="s">
        <v>2</v>
      </c>
      <c r="O4" s="9" t="s">
        <v>58</v>
      </c>
      <c r="P4" s="9" t="s">
        <v>4</v>
      </c>
      <c r="Q4" s="45" t="s">
        <v>59</v>
      </c>
      <c r="R4" s="237"/>
      <c r="S4" s="8" t="s">
        <v>2</v>
      </c>
      <c r="T4" s="9" t="s">
        <v>58</v>
      </c>
      <c r="U4" s="31" t="s">
        <v>4</v>
      </c>
      <c r="V4" s="45" t="s">
        <v>59</v>
      </c>
      <c r="W4" s="237"/>
      <c r="X4" s="8" t="s">
        <v>2</v>
      </c>
      <c r="Y4" s="9" t="s">
        <v>58</v>
      </c>
      <c r="Z4" s="9" t="s">
        <v>4</v>
      </c>
      <c r="AA4" s="237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A7" sqref="A7:O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8"/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</row>
    <row r="2" spans="1:23" hidden="1" x14ac:dyDescent="0.45">
      <c r="A2" s="249"/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49"/>
      <c r="P2" s="249"/>
    </row>
    <row r="3" spans="1:23" hidden="1" x14ac:dyDescent="0.45">
      <c r="A3" s="250"/>
      <c r="B3" s="250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2" t="s">
        <v>224</v>
      </c>
      <c r="B4" s="252" t="s">
        <v>39</v>
      </c>
      <c r="C4" s="124"/>
      <c r="D4" s="124"/>
      <c r="E4" s="124"/>
      <c r="F4" s="124"/>
      <c r="G4" s="124"/>
      <c r="H4" s="251"/>
      <c r="I4" s="251"/>
      <c r="J4" s="251"/>
      <c r="K4" s="251"/>
      <c r="L4" s="251"/>
      <c r="M4" s="251"/>
      <c r="N4" s="251"/>
      <c r="O4" s="251"/>
      <c r="P4" s="251"/>
    </row>
    <row r="5" spans="1:23" x14ac:dyDescent="0.45">
      <c r="A5" s="255"/>
      <c r="B5" s="255"/>
      <c r="C5" s="252" t="s">
        <v>225</v>
      </c>
      <c r="D5" s="252" t="s">
        <v>226</v>
      </c>
      <c r="E5" s="253"/>
      <c r="F5" s="252" t="s">
        <v>227</v>
      </c>
      <c r="G5" s="253"/>
      <c r="H5" s="252" t="s">
        <v>228</v>
      </c>
      <c r="I5" s="253"/>
      <c r="J5" s="252" t="s">
        <v>229</v>
      </c>
      <c r="K5" s="253"/>
      <c r="L5" s="256" t="s">
        <v>230</v>
      </c>
      <c r="M5" s="253"/>
      <c r="N5" s="251" t="s">
        <v>231</v>
      </c>
      <c r="O5" s="257"/>
      <c r="P5" s="252" t="s">
        <v>235</v>
      </c>
      <c r="R5" s="246" t="s">
        <v>34</v>
      </c>
      <c r="S5" s="246" t="s">
        <v>258</v>
      </c>
      <c r="T5" s="246" t="s">
        <v>259</v>
      </c>
      <c r="U5" s="246" t="s">
        <v>261</v>
      </c>
      <c r="V5" s="247" t="s">
        <v>260</v>
      </c>
      <c r="W5" s="155"/>
    </row>
    <row r="6" spans="1:23" x14ac:dyDescent="0.45">
      <c r="A6" s="254"/>
      <c r="B6" s="254"/>
      <c r="C6" s="255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4"/>
      <c r="R6" s="246"/>
      <c r="S6" s="246"/>
      <c r="T6" s="246"/>
      <c r="U6" s="246"/>
      <c r="V6" s="246"/>
      <c r="W6" s="155"/>
    </row>
    <row r="7" spans="1:23" x14ac:dyDescent="0.45">
      <c r="A7" s="173" t="s">
        <v>179</v>
      </c>
      <c r="B7" s="173" t="s">
        <v>101</v>
      </c>
      <c r="C7" s="173" t="s">
        <v>102</v>
      </c>
      <c r="D7" s="174">
        <v>454</v>
      </c>
      <c r="E7" s="174">
        <v>70243418</v>
      </c>
      <c r="F7" s="174">
        <v>0</v>
      </c>
      <c r="G7" s="174">
        <v>0</v>
      </c>
      <c r="H7" s="174">
        <v>454</v>
      </c>
      <c r="I7" s="174">
        <v>70243418</v>
      </c>
      <c r="J7" s="174">
        <v>11</v>
      </c>
      <c r="K7" s="174">
        <v>1990150</v>
      </c>
      <c r="L7" s="174">
        <v>416</v>
      </c>
      <c r="M7" s="174">
        <v>64376656</v>
      </c>
      <c r="N7" s="175">
        <v>91.63</v>
      </c>
      <c r="O7" s="175">
        <v>91.65</v>
      </c>
      <c r="P7" s="118">
        <f>I7*0.97-M7</f>
        <v>3759459.4599999934</v>
      </c>
      <c r="R7" s="156" t="s">
        <v>117</v>
      </c>
      <c r="S7" s="159">
        <f>VLOOKUP(R7,$C$7:$P$27,7,0)</f>
        <v>101866340</v>
      </c>
      <c r="T7" s="158">
        <v>16052355.799999997</v>
      </c>
      <c r="U7" s="172">
        <f>VLOOKUP(R7,$C$7:$P$27,14,0)</f>
        <v>11468259.799999997</v>
      </c>
      <c r="V7" s="158">
        <f>VLOOKUP(R7,$C$7:$P$27,14,0)-T7</f>
        <v>-4584096</v>
      </c>
    </row>
    <row r="8" spans="1:23" x14ac:dyDescent="0.45">
      <c r="A8" s="176" t="s">
        <v>179</v>
      </c>
      <c r="B8" s="176" t="s">
        <v>257</v>
      </c>
      <c r="C8" s="176" t="s">
        <v>253</v>
      </c>
      <c r="D8" s="177">
        <v>318</v>
      </c>
      <c r="E8" s="177">
        <v>50351985</v>
      </c>
      <c r="F8" s="177">
        <v>0</v>
      </c>
      <c r="G8" s="177">
        <v>0</v>
      </c>
      <c r="H8" s="177">
        <v>318</v>
      </c>
      <c r="I8" s="177">
        <v>50351985</v>
      </c>
      <c r="J8" s="177">
        <v>6</v>
      </c>
      <c r="K8" s="177">
        <v>666595</v>
      </c>
      <c r="L8" s="177">
        <v>276</v>
      </c>
      <c r="M8" s="177">
        <v>45200562</v>
      </c>
      <c r="N8" s="178">
        <v>86.79</v>
      </c>
      <c r="O8" s="178">
        <v>89.77</v>
      </c>
      <c r="P8" s="118">
        <f t="shared" ref="P8:P27" si="0">I8*0.97-M8</f>
        <v>3640863.4499999955</v>
      </c>
      <c r="R8" s="156" t="s">
        <v>67</v>
      </c>
      <c r="S8" s="159">
        <f t="shared" ref="S8:S17" si="1">VLOOKUP(R8,$C$7:$P$27,7,0)</f>
        <v>145101823</v>
      </c>
      <c r="T8" s="158">
        <v>17997728.310000002</v>
      </c>
      <c r="U8" s="172">
        <f t="shared" ref="U8:U17" si="2">VLOOKUP(R8,$C$7:$P$27,14,0)</f>
        <v>13885488.310000002</v>
      </c>
      <c r="V8" s="158">
        <f t="shared" ref="V8:V17" si="3">VLOOKUP(R8,$C$7:$P$27,14,0)-T8</f>
        <v>-4112240</v>
      </c>
    </row>
    <row r="9" spans="1:23" x14ac:dyDescent="0.45">
      <c r="A9" s="173" t="s">
        <v>179</v>
      </c>
      <c r="B9" s="173" t="s">
        <v>114</v>
      </c>
      <c r="C9" s="173" t="s">
        <v>115</v>
      </c>
      <c r="D9" s="174">
        <v>559</v>
      </c>
      <c r="E9" s="174">
        <v>93597302</v>
      </c>
      <c r="F9" s="174">
        <v>0</v>
      </c>
      <c r="G9" s="174">
        <v>0</v>
      </c>
      <c r="H9" s="174">
        <v>559</v>
      </c>
      <c r="I9" s="174">
        <v>93597302</v>
      </c>
      <c r="J9" s="174">
        <v>21</v>
      </c>
      <c r="K9" s="174">
        <v>4022818</v>
      </c>
      <c r="L9" s="174">
        <v>481</v>
      </c>
      <c r="M9" s="174">
        <v>82517110</v>
      </c>
      <c r="N9" s="175">
        <v>86.05</v>
      </c>
      <c r="O9" s="175">
        <v>88.16</v>
      </c>
      <c r="P9" s="118">
        <f t="shared" si="0"/>
        <v>8272272.9399999976</v>
      </c>
      <c r="R9" s="157" t="s">
        <v>87</v>
      </c>
      <c r="S9" s="159">
        <f t="shared" si="1"/>
        <v>141474291</v>
      </c>
      <c r="T9" s="158">
        <v>26717600.270000011</v>
      </c>
      <c r="U9" s="172">
        <f t="shared" si="2"/>
        <v>20691227.270000011</v>
      </c>
      <c r="V9" s="158">
        <f t="shared" si="3"/>
        <v>-6026373</v>
      </c>
    </row>
    <row r="10" spans="1:23" x14ac:dyDescent="0.45">
      <c r="A10" s="176" t="s">
        <v>179</v>
      </c>
      <c r="B10" s="176" t="s">
        <v>68</v>
      </c>
      <c r="C10" s="176" t="s">
        <v>69</v>
      </c>
      <c r="D10" s="177">
        <v>434</v>
      </c>
      <c r="E10" s="177">
        <v>72573808</v>
      </c>
      <c r="F10" s="177">
        <v>0</v>
      </c>
      <c r="G10" s="177">
        <v>0</v>
      </c>
      <c r="H10" s="177">
        <v>434</v>
      </c>
      <c r="I10" s="177">
        <v>72573808</v>
      </c>
      <c r="J10" s="177">
        <v>5</v>
      </c>
      <c r="K10" s="177">
        <v>924797</v>
      </c>
      <c r="L10" s="177">
        <v>394</v>
      </c>
      <c r="M10" s="177">
        <v>63972935</v>
      </c>
      <c r="N10" s="178">
        <v>90.78</v>
      </c>
      <c r="O10" s="178">
        <v>88.15</v>
      </c>
      <c r="P10" s="118">
        <f t="shared" si="0"/>
        <v>6423658.7600000054</v>
      </c>
      <c r="R10" s="157" t="s">
        <v>110</v>
      </c>
      <c r="S10" s="159">
        <f t="shared" si="1"/>
        <v>149379338</v>
      </c>
      <c r="T10" s="158">
        <v>41487548.859999985</v>
      </c>
      <c r="U10" s="172">
        <f t="shared" si="2"/>
        <v>33829922.859999985</v>
      </c>
      <c r="V10" s="158">
        <f t="shared" si="3"/>
        <v>-7657626</v>
      </c>
    </row>
    <row r="11" spans="1:23" x14ac:dyDescent="0.45">
      <c r="A11" s="173" t="s">
        <v>179</v>
      </c>
      <c r="B11" s="173" t="s">
        <v>122</v>
      </c>
      <c r="C11" s="173" t="s">
        <v>123</v>
      </c>
      <c r="D11" s="174">
        <v>308</v>
      </c>
      <c r="E11" s="174">
        <v>51982396</v>
      </c>
      <c r="F11" s="174">
        <v>0</v>
      </c>
      <c r="G11" s="174">
        <v>0</v>
      </c>
      <c r="H11" s="174">
        <v>308</v>
      </c>
      <c r="I11" s="174">
        <v>51982396</v>
      </c>
      <c r="J11" s="174">
        <v>13</v>
      </c>
      <c r="K11" s="174">
        <v>2416666</v>
      </c>
      <c r="L11" s="174">
        <v>267</v>
      </c>
      <c r="M11" s="174">
        <v>45812520</v>
      </c>
      <c r="N11" s="175">
        <v>86.69</v>
      </c>
      <c r="O11" s="175">
        <v>88.13</v>
      </c>
      <c r="P11" s="118">
        <f t="shared" si="0"/>
        <v>4610404.1199999973</v>
      </c>
      <c r="R11" s="156" t="s">
        <v>99</v>
      </c>
      <c r="S11" s="159">
        <f t="shared" si="1"/>
        <v>105953075</v>
      </c>
      <c r="T11" s="158">
        <v>18693450.75</v>
      </c>
      <c r="U11" s="172">
        <f t="shared" si="2"/>
        <v>14886178.75</v>
      </c>
      <c r="V11" s="158">
        <f t="shared" si="3"/>
        <v>-3807272</v>
      </c>
    </row>
    <row r="12" spans="1:23" x14ac:dyDescent="0.45">
      <c r="A12" s="176" t="s">
        <v>128</v>
      </c>
      <c r="B12" s="176" t="s">
        <v>66</v>
      </c>
      <c r="C12" s="176" t="s">
        <v>67</v>
      </c>
      <c r="D12" s="177">
        <v>876</v>
      </c>
      <c r="E12" s="177">
        <v>145101823</v>
      </c>
      <c r="F12" s="177">
        <v>0</v>
      </c>
      <c r="G12" s="177">
        <v>0</v>
      </c>
      <c r="H12" s="177">
        <v>876</v>
      </c>
      <c r="I12" s="177">
        <v>145101823</v>
      </c>
      <c r="J12" s="177">
        <v>27</v>
      </c>
      <c r="K12" s="177">
        <v>4446740</v>
      </c>
      <c r="L12" s="177">
        <v>755</v>
      </c>
      <c r="M12" s="177">
        <v>126863280</v>
      </c>
      <c r="N12" s="178">
        <v>86.19</v>
      </c>
      <c r="O12" s="178">
        <v>87.43</v>
      </c>
      <c r="P12" s="118">
        <f t="shared" si="0"/>
        <v>13885488.310000002</v>
      </c>
      <c r="R12" s="156" t="s">
        <v>75</v>
      </c>
      <c r="S12" s="159">
        <f t="shared" si="1"/>
        <v>152862316</v>
      </c>
      <c r="T12" s="158">
        <v>22033021.520000011</v>
      </c>
      <c r="U12" s="172">
        <f t="shared" si="2"/>
        <v>18816247.520000011</v>
      </c>
      <c r="V12" s="158">
        <f t="shared" si="3"/>
        <v>-3216774</v>
      </c>
    </row>
    <row r="13" spans="1:23" x14ac:dyDescent="0.45">
      <c r="A13" s="173" t="s">
        <v>129</v>
      </c>
      <c r="B13" s="173" t="s">
        <v>106</v>
      </c>
      <c r="C13" s="173" t="s">
        <v>107</v>
      </c>
      <c r="D13" s="174">
        <v>1048</v>
      </c>
      <c r="E13" s="174">
        <v>180440547</v>
      </c>
      <c r="F13" s="174">
        <v>0</v>
      </c>
      <c r="G13" s="174">
        <v>0</v>
      </c>
      <c r="H13" s="174">
        <v>1048</v>
      </c>
      <c r="I13" s="174">
        <v>180440547</v>
      </c>
      <c r="J13" s="174">
        <v>32</v>
      </c>
      <c r="K13" s="174">
        <v>5794678</v>
      </c>
      <c r="L13" s="174">
        <v>895</v>
      </c>
      <c r="M13" s="174">
        <v>157365440</v>
      </c>
      <c r="N13" s="175">
        <v>85.4</v>
      </c>
      <c r="O13" s="175">
        <v>87.21</v>
      </c>
      <c r="P13" s="118">
        <f t="shared" si="0"/>
        <v>17661890.590000004</v>
      </c>
      <c r="R13" s="156" t="s">
        <v>107</v>
      </c>
      <c r="S13" s="159">
        <f t="shared" si="1"/>
        <v>180440547</v>
      </c>
      <c r="T13" s="158">
        <v>22900135.590000004</v>
      </c>
      <c r="U13" s="172">
        <f t="shared" si="2"/>
        <v>17661890.590000004</v>
      </c>
      <c r="V13" s="158">
        <f t="shared" si="3"/>
        <v>-5238245</v>
      </c>
    </row>
    <row r="14" spans="1:23" x14ac:dyDescent="0.45">
      <c r="A14" s="176" t="s">
        <v>179</v>
      </c>
      <c r="B14" s="176" t="s">
        <v>104</v>
      </c>
      <c r="C14" s="176" t="s">
        <v>105</v>
      </c>
      <c r="D14" s="177">
        <v>716</v>
      </c>
      <c r="E14" s="177">
        <v>116427734</v>
      </c>
      <c r="F14" s="177">
        <v>0</v>
      </c>
      <c r="G14" s="177">
        <v>0</v>
      </c>
      <c r="H14" s="177">
        <v>716</v>
      </c>
      <c r="I14" s="177">
        <v>116427734</v>
      </c>
      <c r="J14" s="177">
        <v>15</v>
      </c>
      <c r="K14" s="177">
        <v>2375727</v>
      </c>
      <c r="L14" s="177">
        <v>605</v>
      </c>
      <c r="M14" s="177">
        <v>100931373</v>
      </c>
      <c r="N14" s="178">
        <v>84.5</v>
      </c>
      <c r="O14" s="178">
        <v>86.69</v>
      </c>
      <c r="P14" s="118">
        <f t="shared" si="0"/>
        <v>12003528.980000004</v>
      </c>
      <c r="R14" s="157" t="s">
        <v>72</v>
      </c>
      <c r="S14" s="159">
        <f t="shared" si="1"/>
        <v>162344260</v>
      </c>
      <c r="T14" s="158">
        <v>30539293.199999988</v>
      </c>
      <c r="U14" s="172">
        <f t="shared" si="2"/>
        <v>26591675.199999988</v>
      </c>
      <c r="V14" s="158">
        <f t="shared" si="3"/>
        <v>-3947618</v>
      </c>
    </row>
    <row r="15" spans="1:23" x14ac:dyDescent="0.45">
      <c r="A15" s="173" t="s">
        <v>179</v>
      </c>
      <c r="B15" s="173" t="s">
        <v>89</v>
      </c>
      <c r="C15" s="173" t="s">
        <v>90</v>
      </c>
      <c r="D15" s="174">
        <v>356</v>
      </c>
      <c r="E15" s="174">
        <v>53605661</v>
      </c>
      <c r="F15" s="174">
        <v>0</v>
      </c>
      <c r="G15" s="174">
        <v>0</v>
      </c>
      <c r="H15" s="174">
        <v>356</v>
      </c>
      <c r="I15" s="174">
        <v>53605661</v>
      </c>
      <c r="J15" s="174">
        <v>7</v>
      </c>
      <c r="K15" s="174">
        <v>1562383</v>
      </c>
      <c r="L15" s="174">
        <v>295</v>
      </c>
      <c r="M15" s="174">
        <v>46286678</v>
      </c>
      <c r="N15" s="175">
        <v>82.87</v>
      </c>
      <c r="O15" s="175">
        <v>86.35</v>
      </c>
      <c r="P15" s="118">
        <f t="shared" si="0"/>
        <v>5710813.1700000018</v>
      </c>
      <c r="R15" s="157" t="s">
        <v>113</v>
      </c>
      <c r="S15" s="159">
        <f t="shared" si="1"/>
        <v>194517020</v>
      </c>
      <c r="T15" s="158">
        <v>46118158.400000006</v>
      </c>
      <c r="U15" s="172">
        <f t="shared" si="2"/>
        <v>35659904.400000006</v>
      </c>
      <c r="V15" s="158">
        <f t="shared" si="3"/>
        <v>-10458254</v>
      </c>
    </row>
    <row r="16" spans="1:23" x14ac:dyDescent="0.45">
      <c r="A16" s="176" t="s">
        <v>128</v>
      </c>
      <c r="B16" s="176" t="s">
        <v>116</v>
      </c>
      <c r="C16" s="176" t="s">
        <v>117</v>
      </c>
      <c r="D16" s="177">
        <v>642</v>
      </c>
      <c r="E16" s="177">
        <v>101866340</v>
      </c>
      <c r="F16" s="177">
        <v>0</v>
      </c>
      <c r="G16" s="177">
        <v>0</v>
      </c>
      <c r="H16" s="177">
        <v>642</v>
      </c>
      <c r="I16" s="177">
        <v>101866340</v>
      </c>
      <c r="J16" s="177">
        <v>28</v>
      </c>
      <c r="K16" s="177">
        <v>4584096</v>
      </c>
      <c r="L16" s="177">
        <v>532</v>
      </c>
      <c r="M16" s="177">
        <v>87342090</v>
      </c>
      <c r="N16" s="178">
        <v>82.87</v>
      </c>
      <c r="O16" s="178">
        <v>85.74</v>
      </c>
      <c r="P16" s="118">
        <f t="shared" si="0"/>
        <v>11468259.799999997</v>
      </c>
      <c r="R16" s="157" t="s">
        <v>119</v>
      </c>
      <c r="S16" s="159">
        <f t="shared" si="1"/>
        <v>189656153</v>
      </c>
      <c r="T16" s="158">
        <v>29992114.409999996</v>
      </c>
      <c r="U16" s="172">
        <f t="shared" si="2"/>
        <v>21616065.409999996</v>
      </c>
      <c r="V16" s="158">
        <f t="shared" si="3"/>
        <v>-8376049</v>
      </c>
    </row>
    <row r="17" spans="1:22" x14ac:dyDescent="0.45">
      <c r="A17" s="173" t="s">
        <v>129</v>
      </c>
      <c r="B17" s="173" t="s">
        <v>118</v>
      </c>
      <c r="C17" s="173" t="s">
        <v>119</v>
      </c>
      <c r="D17" s="174">
        <v>1181</v>
      </c>
      <c r="E17" s="174">
        <v>189656153</v>
      </c>
      <c r="F17" s="174">
        <v>0</v>
      </c>
      <c r="G17" s="174">
        <v>0</v>
      </c>
      <c r="H17" s="174">
        <v>1181</v>
      </c>
      <c r="I17" s="174">
        <v>189656153</v>
      </c>
      <c r="J17" s="174">
        <v>45</v>
      </c>
      <c r="K17" s="174">
        <v>8661049</v>
      </c>
      <c r="L17" s="174">
        <v>989</v>
      </c>
      <c r="M17" s="174">
        <v>162350403</v>
      </c>
      <c r="N17" s="175">
        <v>83.74</v>
      </c>
      <c r="O17" s="175">
        <v>85.6</v>
      </c>
      <c r="P17" s="118">
        <f t="shared" si="0"/>
        <v>21616065.409999996</v>
      </c>
      <c r="R17" s="156" t="s">
        <v>84</v>
      </c>
      <c r="S17" s="159">
        <f t="shared" si="1"/>
        <v>95369711</v>
      </c>
      <c r="T17" s="158">
        <v>17311017.670000002</v>
      </c>
      <c r="U17" s="172">
        <f t="shared" si="2"/>
        <v>14113519.670000002</v>
      </c>
      <c r="V17" s="158">
        <f t="shared" si="3"/>
        <v>-3197498</v>
      </c>
    </row>
    <row r="18" spans="1:22" x14ac:dyDescent="0.45">
      <c r="A18" s="176" t="s">
        <v>129</v>
      </c>
      <c r="B18" s="176" t="s">
        <v>74</v>
      </c>
      <c r="C18" s="176" t="s">
        <v>75</v>
      </c>
      <c r="D18" s="177">
        <v>941</v>
      </c>
      <c r="E18" s="177">
        <v>152862316</v>
      </c>
      <c r="F18" s="177">
        <v>0</v>
      </c>
      <c r="G18" s="177">
        <v>0</v>
      </c>
      <c r="H18" s="177">
        <v>941</v>
      </c>
      <c r="I18" s="177">
        <v>152862316</v>
      </c>
      <c r="J18" s="177">
        <v>21</v>
      </c>
      <c r="K18" s="177">
        <v>3336609</v>
      </c>
      <c r="L18" s="177">
        <v>769</v>
      </c>
      <c r="M18" s="177">
        <v>129460199</v>
      </c>
      <c r="N18" s="178">
        <v>81.72</v>
      </c>
      <c r="O18" s="178">
        <v>84.69</v>
      </c>
      <c r="P18" s="118">
        <f t="shared" si="0"/>
        <v>18816247.520000011</v>
      </c>
    </row>
    <row r="19" spans="1:22" x14ac:dyDescent="0.45">
      <c r="A19" s="173" t="s">
        <v>179</v>
      </c>
      <c r="B19" s="173" t="s">
        <v>80</v>
      </c>
      <c r="C19" s="173" t="s">
        <v>81</v>
      </c>
      <c r="D19" s="174">
        <v>546</v>
      </c>
      <c r="E19" s="174">
        <v>89879995</v>
      </c>
      <c r="F19" s="174">
        <v>0</v>
      </c>
      <c r="G19" s="174">
        <v>0</v>
      </c>
      <c r="H19" s="174">
        <v>546</v>
      </c>
      <c r="I19" s="174">
        <v>89879995</v>
      </c>
      <c r="J19" s="174">
        <v>62</v>
      </c>
      <c r="K19" s="174">
        <v>11142818</v>
      </c>
      <c r="L19" s="174">
        <v>448</v>
      </c>
      <c r="M19" s="174">
        <v>76038328</v>
      </c>
      <c r="N19" s="175">
        <v>82.05</v>
      </c>
      <c r="O19" s="175">
        <v>84.6</v>
      </c>
      <c r="P19" s="118">
        <f t="shared" si="0"/>
        <v>11145267.149999991</v>
      </c>
    </row>
    <row r="20" spans="1:22" x14ac:dyDescent="0.45">
      <c r="A20" s="176" t="s">
        <v>129</v>
      </c>
      <c r="B20" s="176" t="s">
        <v>77</v>
      </c>
      <c r="C20" s="176" t="s">
        <v>78</v>
      </c>
      <c r="D20" s="177">
        <v>683</v>
      </c>
      <c r="E20" s="177">
        <v>105983346</v>
      </c>
      <c r="F20" s="177">
        <v>0</v>
      </c>
      <c r="G20" s="177">
        <v>0</v>
      </c>
      <c r="H20" s="177">
        <v>683</v>
      </c>
      <c r="I20" s="177">
        <v>105983346</v>
      </c>
      <c r="J20" s="177">
        <v>17</v>
      </c>
      <c r="K20" s="177">
        <v>2622336</v>
      </c>
      <c r="L20" s="177">
        <v>569</v>
      </c>
      <c r="M20" s="177">
        <v>89323483</v>
      </c>
      <c r="N20" s="178">
        <v>83.31</v>
      </c>
      <c r="O20" s="178">
        <v>84.28</v>
      </c>
      <c r="P20" s="118">
        <f t="shared" si="0"/>
        <v>13480362.61999999</v>
      </c>
    </row>
    <row r="21" spans="1:22" x14ac:dyDescent="0.45">
      <c r="A21" s="173" t="s">
        <v>128</v>
      </c>
      <c r="B21" s="173" t="s">
        <v>98</v>
      </c>
      <c r="C21" s="173" t="s">
        <v>99</v>
      </c>
      <c r="D21" s="174">
        <v>687</v>
      </c>
      <c r="E21" s="174">
        <v>105953075</v>
      </c>
      <c r="F21" s="174">
        <v>0</v>
      </c>
      <c r="G21" s="174">
        <v>0</v>
      </c>
      <c r="H21" s="174">
        <v>687</v>
      </c>
      <c r="I21" s="174">
        <v>105953075</v>
      </c>
      <c r="J21" s="174">
        <v>18</v>
      </c>
      <c r="K21" s="174">
        <v>3972272</v>
      </c>
      <c r="L21" s="174">
        <v>549</v>
      </c>
      <c r="M21" s="174">
        <v>87888304</v>
      </c>
      <c r="N21" s="175">
        <v>79.91</v>
      </c>
      <c r="O21" s="175">
        <v>82.95</v>
      </c>
      <c r="P21" s="118">
        <f t="shared" si="0"/>
        <v>14886178.75</v>
      </c>
    </row>
    <row r="22" spans="1:22" x14ac:dyDescent="0.45">
      <c r="A22" s="176" t="s">
        <v>128</v>
      </c>
      <c r="B22" s="176" t="s">
        <v>86</v>
      </c>
      <c r="C22" s="176" t="s">
        <v>87</v>
      </c>
      <c r="D22" s="177">
        <v>853</v>
      </c>
      <c r="E22" s="177">
        <v>141474291</v>
      </c>
      <c r="F22" s="177">
        <v>0</v>
      </c>
      <c r="G22" s="177">
        <v>0</v>
      </c>
      <c r="H22" s="177">
        <v>853</v>
      </c>
      <c r="I22" s="177">
        <v>141474291</v>
      </c>
      <c r="J22" s="177">
        <v>31</v>
      </c>
      <c r="K22" s="177">
        <v>6271373</v>
      </c>
      <c r="L22" s="177">
        <v>694</v>
      </c>
      <c r="M22" s="177">
        <v>116538835</v>
      </c>
      <c r="N22" s="178">
        <v>81.36</v>
      </c>
      <c r="O22" s="178">
        <v>82.37</v>
      </c>
      <c r="P22" s="118">
        <f t="shared" si="0"/>
        <v>20691227.270000011</v>
      </c>
    </row>
    <row r="23" spans="1:22" x14ac:dyDescent="0.45">
      <c r="A23" s="173" t="s">
        <v>129</v>
      </c>
      <c r="B23" s="173" t="s">
        <v>83</v>
      </c>
      <c r="C23" s="173" t="s">
        <v>84</v>
      </c>
      <c r="D23" s="174">
        <v>588</v>
      </c>
      <c r="E23" s="174">
        <v>95369711</v>
      </c>
      <c r="F23" s="174">
        <v>0</v>
      </c>
      <c r="G23" s="174">
        <v>0</v>
      </c>
      <c r="H23" s="174">
        <v>588</v>
      </c>
      <c r="I23" s="174">
        <v>95369711</v>
      </c>
      <c r="J23" s="174">
        <v>22</v>
      </c>
      <c r="K23" s="174">
        <v>3407498</v>
      </c>
      <c r="L23" s="174">
        <v>481</v>
      </c>
      <c r="M23" s="174">
        <v>78395100</v>
      </c>
      <c r="N23" s="175">
        <v>81.8</v>
      </c>
      <c r="O23" s="175">
        <v>82.2</v>
      </c>
      <c r="P23" s="118">
        <f t="shared" si="0"/>
        <v>14113519.670000002</v>
      </c>
    </row>
    <row r="24" spans="1:22" x14ac:dyDescent="0.45">
      <c r="A24" s="176" t="s">
        <v>179</v>
      </c>
      <c r="B24" s="176" t="s">
        <v>120</v>
      </c>
      <c r="C24" s="176" t="s">
        <v>121</v>
      </c>
      <c r="D24" s="177">
        <v>415</v>
      </c>
      <c r="E24" s="177">
        <v>66800107</v>
      </c>
      <c r="F24" s="177">
        <v>0</v>
      </c>
      <c r="G24" s="177">
        <v>0</v>
      </c>
      <c r="H24" s="177">
        <v>415</v>
      </c>
      <c r="I24" s="177">
        <v>66800107</v>
      </c>
      <c r="J24" s="177">
        <v>17</v>
      </c>
      <c r="K24" s="177">
        <v>2407464</v>
      </c>
      <c r="L24" s="177">
        <v>330</v>
      </c>
      <c r="M24" s="177">
        <v>54463484</v>
      </c>
      <c r="N24" s="178">
        <v>79.52</v>
      </c>
      <c r="O24" s="178">
        <v>81.53</v>
      </c>
      <c r="P24" s="118">
        <f t="shared" si="0"/>
        <v>10332619.789999999</v>
      </c>
    </row>
    <row r="25" spans="1:22" x14ac:dyDescent="0.45">
      <c r="A25" s="173" t="s">
        <v>129</v>
      </c>
      <c r="B25" s="173" t="s">
        <v>71</v>
      </c>
      <c r="C25" s="173" t="s">
        <v>72</v>
      </c>
      <c r="D25" s="174">
        <v>968</v>
      </c>
      <c r="E25" s="174">
        <v>162344260</v>
      </c>
      <c r="F25" s="174">
        <v>0</v>
      </c>
      <c r="G25" s="174">
        <v>0</v>
      </c>
      <c r="H25" s="174">
        <v>968</v>
      </c>
      <c r="I25" s="174">
        <v>162344260</v>
      </c>
      <c r="J25" s="174">
        <v>24</v>
      </c>
      <c r="K25" s="174">
        <v>4057586</v>
      </c>
      <c r="L25" s="174">
        <v>779</v>
      </c>
      <c r="M25" s="174">
        <v>130882257</v>
      </c>
      <c r="N25" s="175">
        <v>80.48</v>
      </c>
      <c r="O25" s="175">
        <v>80.62</v>
      </c>
      <c r="P25" s="118">
        <f t="shared" si="0"/>
        <v>26591675.199999988</v>
      </c>
    </row>
    <row r="26" spans="1:22" x14ac:dyDescent="0.45">
      <c r="A26" s="176" t="s">
        <v>129</v>
      </c>
      <c r="B26" s="176" t="s">
        <v>112</v>
      </c>
      <c r="C26" s="176" t="s">
        <v>113</v>
      </c>
      <c r="D26" s="177">
        <v>1198</v>
      </c>
      <c r="E26" s="177">
        <v>194517020</v>
      </c>
      <c r="F26" s="177">
        <v>0</v>
      </c>
      <c r="G26" s="177">
        <v>0</v>
      </c>
      <c r="H26" s="177">
        <v>1198</v>
      </c>
      <c r="I26" s="177">
        <v>194517020</v>
      </c>
      <c r="J26" s="177">
        <v>59</v>
      </c>
      <c r="K26" s="177">
        <v>10838254</v>
      </c>
      <c r="L26" s="177">
        <v>914</v>
      </c>
      <c r="M26" s="177">
        <v>153021605</v>
      </c>
      <c r="N26" s="178">
        <v>76.290000000000006</v>
      </c>
      <c r="O26" s="178">
        <v>78.67</v>
      </c>
      <c r="P26" s="118">
        <f t="shared" si="0"/>
        <v>35659904.400000006</v>
      </c>
    </row>
    <row r="27" spans="1:22" x14ac:dyDescent="0.45">
      <c r="A27" s="173" t="s">
        <v>128</v>
      </c>
      <c r="B27" s="173" t="s">
        <v>109</v>
      </c>
      <c r="C27" s="173" t="s">
        <v>110</v>
      </c>
      <c r="D27" s="174">
        <v>892</v>
      </c>
      <c r="E27" s="174">
        <v>149379338</v>
      </c>
      <c r="F27" s="174">
        <v>0</v>
      </c>
      <c r="G27" s="174">
        <v>0</v>
      </c>
      <c r="H27" s="174">
        <v>892</v>
      </c>
      <c r="I27" s="174">
        <v>149379338</v>
      </c>
      <c r="J27" s="174">
        <v>26</v>
      </c>
      <c r="K27" s="174">
        <v>7939975</v>
      </c>
      <c r="L27" s="174">
        <v>656</v>
      </c>
      <c r="M27" s="174">
        <v>111068035</v>
      </c>
      <c r="N27" s="175">
        <v>73.540000000000006</v>
      </c>
      <c r="O27" s="175">
        <v>74.349999999999994</v>
      </c>
      <c r="P27" s="118">
        <f t="shared" si="0"/>
        <v>33829922.859999985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2026-02-25T03:46:39Z</dcterms:modified>
</cp:coreProperties>
</file>