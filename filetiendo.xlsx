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EA1C3158-93E5-464C-88DC-ED1592466241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U9" i="24" s="1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AX4" i="25" s="1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Y4" i="25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V11" i="2" l="1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<sst xmlns="http://schemas.openxmlformats.org/spreadsheetml/2006/main" count="1049" uniqueCount="294">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</sst>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169" fontId="14" fillId="5" borderId="0" xfId="0" applyNumberFormat="1" applyFont="1" applyFill="1" applyAlignment="1">
      <alignment horizontal="center" vertical="center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69" fillId="29" borderId="165" xfId="0" applyFont="1" applyFill="1" applyBorder="1" applyAlignment="1">
      <alignment horizontal="center" vertical="center" wrapText="1"/>
    </xf>
    <xf numFmtId="0" fontId="69" fillId="29" borderId="165" xfId="0" applyFont="1" applyFill="1" applyBorder="1" applyAlignment="1">
      <alignment horizontal="center" vertical="center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10" t="s">
        <v>34</v>
      </c>
      <c r="B2" s="86"/>
      <c r="C2" s="15"/>
      <c r="D2" s="216" t="s">
        <v>35</v>
      </c>
      <c r="E2" s="216"/>
      <c r="F2" s="216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4" t="s">
        <v>36</v>
      </c>
      <c r="U2" s="214"/>
      <c r="V2" s="214"/>
      <c r="W2" s="214"/>
      <c r="X2" s="214"/>
      <c r="Y2" s="214"/>
      <c r="Z2" s="214"/>
      <c r="AA2" s="214"/>
      <c r="AB2" s="214"/>
      <c r="AC2" s="214"/>
      <c r="AD2" s="214"/>
      <c r="AE2" s="214"/>
      <c r="AF2" s="214"/>
      <c r="AG2" s="214"/>
      <c r="AH2" s="214"/>
      <c r="AI2" s="214"/>
      <c r="AJ2" s="213" t="s">
        <v>37</v>
      </c>
      <c r="AK2" s="213"/>
      <c r="AL2" s="213"/>
      <c r="AM2" s="213"/>
      <c r="AN2" s="213"/>
      <c r="AO2" s="213"/>
      <c r="AP2" s="213"/>
      <c r="AQ2" s="213"/>
      <c r="AR2" s="213"/>
      <c r="AS2" s="213"/>
      <c r="AT2" s="213"/>
      <c r="AU2" s="213"/>
      <c r="AV2" s="212" t="s">
        <v>38</v>
      </c>
      <c r="AW2" s="212"/>
      <c r="AX2" s="212"/>
      <c r="AY2" s="212"/>
      <c r="AZ2" s="212"/>
      <c r="BA2" s="212"/>
      <c r="BB2" s="212"/>
      <c r="BC2" s="212"/>
      <c r="BD2" s="212"/>
      <c r="BE2" s="212"/>
      <c r="BF2" s="212"/>
      <c r="BG2" s="212"/>
    </row>
    <row r="3" spans="1:675" s="3" customFormat="1" ht="28.25" customHeight="1" x14ac:dyDescent="0.3">
      <c r="A3" s="210"/>
      <c r="B3" s="217" t="s">
        <v>39</v>
      </c>
      <c r="C3" s="87"/>
      <c r="D3" s="204" t="s">
        <v>3</v>
      </c>
      <c r="E3" s="205"/>
      <c r="F3" s="205"/>
      <c r="G3" s="205"/>
      <c r="H3" s="204" t="s">
        <v>40</v>
      </c>
      <c r="I3" s="205"/>
      <c r="J3" s="205"/>
      <c r="K3" s="205"/>
      <c r="L3" s="204" t="s">
        <v>41</v>
      </c>
      <c r="M3" s="205"/>
      <c r="N3" s="205"/>
      <c r="O3" s="205"/>
      <c r="P3" s="207" t="s">
        <v>42</v>
      </c>
      <c r="Q3" s="208"/>
      <c r="R3" s="208"/>
      <c r="S3" s="209"/>
      <c r="T3" s="204" t="s">
        <v>43</v>
      </c>
      <c r="U3" s="205"/>
      <c r="V3" s="205"/>
      <c r="W3" s="205"/>
      <c r="X3" s="204" t="s">
        <v>45</v>
      </c>
      <c r="Y3" s="205"/>
      <c r="Z3" s="205"/>
      <c r="AA3" s="205"/>
      <c r="AB3" s="204" t="s">
        <v>47</v>
      </c>
      <c r="AC3" s="205"/>
      <c r="AD3" s="205"/>
      <c r="AE3" s="205"/>
      <c r="AF3" s="204" t="s">
        <v>48</v>
      </c>
      <c r="AG3" s="205"/>
      <c r="AH3" s="205"/>
      <c r="AI3" s="205"/>
      <c r="AJ3" s="201" t="s">
        <v>51</v>
      </c>
      <c r="AK3" s="202"/>
      <c r="AL3" s="202"/>
      <c r="AM3" s="203"/>
      <c r="AN3" s="201" t="s">
        <v>14</v>
      </c>
      <c r="AO3" s="202"/>
      <c r="AP3" s="202"/>
      <c r="AQ3" s="203"/>
      <c r="AR3" s="201" t="s">
        <v>52</v>
      </c>
      <c r="AS3" s="202"/>
      <c r="AT3" s="202"/>
      <c r="AU3" s="203"/>
      <c r="AV3" s="205" t="s">
        <v>16</v>
      </c>
      <c r="AW3" s="205"/>
      <c r="AX3" s="205"/>
      <c r="AY3" s="205"/>
      <c r="AZ3" s="205" t="s">
        <v>54</v>
      </c>
      <c r="BA3" s="205"/>
      <c r="BB3" s="205"/>
      <c r="BC3" s="205"/>
      <c r="BD3" s="204" t="s">
        <v>55</v>
      </c>
      <c r="BE3" s="205"/>
      <c r="BF3" s="215"/>
      <c r="BG3" s="205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11"/>
      <c r="B4" s="217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0.77569999999999995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0.19430000000000003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12</v>
      </c>
      <c r="F6" s="14">
        <f t="shared" si="0"/>
        <v>1.7142857142857142</v>
      </c>
      <c r="G6" s="52">
        <f t="shared" si="1"/>
        <v>-5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0.65110000000000001</v>
      </c>
      <c r="AT6" s="14">
        <f t="shared" si="20"/>
        <v>0</v>
      </c>
      <c r="AU6" s="54">
        <f t="shared" si="21"/>
        <v>0.31889999999999996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0.73060000000000003</v>
      </c>
      <c r="AT7" s="14">
        <f t="shared" si="20"/>
        <v>0</v>
      </c>
      <c r="AU7" s="54">
        <f t="shared" si="21"/>
        <v>0.23939999999999995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0.30780000000000002</v>
      </c>
      <c r="AT8" s="14">
        <f t="shared" si="20"/>
        <v>0</v>
      </c>
      <c r="AU8" s="54">
        <f t="shared" si="21"/>
        <v>0.6621999999999999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0.54359999999999997</v>
      </c>
      <c r="AT9" s="14">
        <f t="shared" si="20"/>
        <v>0</v>
      </c>
      <c r="AU9" s="54">
        <f t="shared" si="21"/>
        <v>0.4264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0.51369999999999993</v>
      </c>
      <c r="AT10" s="14">
        <f t="shared" si="20"/>
        <v>0</v>
      </c>
      <c r="AU10" s="54">
        <f t="shared" si="21"/>
        <v>0.45630000000000004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0.62140000000000006</v>
      </c>
      <c r="AT11" s="14">
        <f t="shared" si="20"/>
        <v>0</v>
      </c>
      <c r="AU11" s="54">
        <f t="shared" si="21"/>
        <v>0.34859999999999991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0.58150000000000002</v>
      </c>
      <c r="AT12" s="14">
        <f t="shared" si="20"/>
        <v>0</v>
      </c>
      <c r="AU12" s="54">
        <f t="shared" si="21"/>
        <v>0.38849999999999996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0.73530000000000006</v>
      </c>
      <c r="AT13" s="14">
        <f t="shared" si="20"/>
        <v>0</v>
      </c>
      <c r="AU13" s="54">
        <f t="shared" si="21"/>
        <v>0.23469999999999991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0.56040000000000001</v>
      </c>
      <c r="AT14" s="14">
        <f t="shared" si="20"/>
        <v>0</v>
      </c>
      <c r="AU14" s="54">
        <f t="shared" si="21"/>
        <v>0.40959999999999996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39</v>
      </c>
      <c r="AD15" s="14">
        <f t="shared" si="12"/>
        <v>1.3</v>
      </c>
      <c r="AE15" s="52">
        <f t="shared" si="13"/>
        <v>-9</v>
      </c>
      <c r="AF15" s="57">
        <f>VLOOKUP(C15,'Giao CT'!$D$6:$S$20,10,0)</f>
        <v>8</v>
      </c>
      <c r="AG15" s="13">
        <f>VLOOKUP(C15,GBOC!$E$7:$DG$29,$B$27,0)</f>
        <v>4</v>
      </c>
      <c r="AH15" s="14">
        <f t="shared" si="14"/>
        <v>0.5</v>
      </c>
      <c r="AI15" s="52">
        <f t="shared" si="15"/>
        <v>4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0.62530000000000008</v>
      </c>
      <c r="AT15" s="14">
        <f t="shared" si="20"/>
        <v>0</v>
      </c>
      <c r="AU15" s="54">
        <f t="shared" si="21"/>
        <v>0.3446999999999999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58</v>
      </c>
      <c r="AD16" s="14">
        <f t="shared" si="12"/>
        <v>1.9333333333333333</v>
      </c>
      <c r="AE16" s="52">
        <f t="shared" si="13"/>
        <v>-28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0.69769999999999999</v>
      </c>
      <c r="AT16" s="14">
        <f t="shared" si="20"/>
        <v>0</v>
      </c>
      <c r="AU16" s="54">
        <f t="shared" si="21"/>
        <v>0.27229999999999999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7</v>
      </c>
      <c r="V17" s="14">
        <f t="shared" si="8"/>
        <v>1.75</v>
      </c>
      <c r="W17" s="50">
        <f t="shared" si="9"/>
        <v>-3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170</v>
      </c>
      <c r="AD17" s="14">
        <f t="shared" si="12"/>
        <v>2.8333333333333335</v>
      </c>
      <c r="AE17" s="52">
        <f t="shared" si="13"/>
        <v>-110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0.7369</v>
      </c>
      <c r="AT17" s="14">
        <f t="shared" si="20"/>
        <v>0</v>
      </c>
      <c r="AU17" s="54">
        <f t="shared" si="21"/>
        <v>0.23309999999999997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0.7145999999999999</v>
      </c>
      <c r="AT18" s="14">
        <f t="shared" si="20"/>
        <v>0</v>
      </c>
      <c r="AU18" s="54">
        <f t="shared" si="21"/>
        <v>0.25540000000000007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00">
        <f ca="1">TODAY()</f>
        <v>46076</v>
      </c>
      <c r="G19" s="200"/>
      <c r="H19" s="90"/>
      <c r="I19" s="91">
        <f ca="1">DAY(F19)</f>
        <v>23</v>
      </c>
      <c r="J19" s="92">
        <v>31</v>
      </c>
      <c r="K19" s="95">
        <f ca="1">I19/J19</f>
        <v>0.74193548387096775</v>
      </c>
      <c r="L19" s="206" t="s">
        <v>124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0.77569999999999995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0.19430000000000003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6" t="s">
        <v>35</v>
      </c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4" t="s">
        <v>36</v>
      </c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4"/>
      <c r="AH1" s="214"/>
      <c r="AI1" s="214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4" t="s">
        <v>3</v>
      </c>
      <c r="E2" s="205"/>
      <c r="F2" s="205"/>
      <c r="G2" s="205"/>
      <c r="H2" s="204" t="s">
        <v>40</v>
      </c>
      <c r="I2" s="205"/>
      <c r="J2" s="205"/>
      <c r="K2" s="205"/>
      <c r="L2" s="204" t="s">
        <v>41</v>
      </c>
      <c r="M2" s="205"/>
      <c r="N2" s="205"/>
      <c r="O2" s="205"/>
      <c r="P2" s="207" t="s">
        <v>42</v>
      </c>
      <c r="Q2" s="208"/>
      <c r="R2" s="208"/>
      <c r="S2" s="209"/>
      <c r="T2" s="204" t="s">
        <v>43</v>
      </c>
      <c r="U2" s="205"/>
      <c r="V2" s="205"/>
      <c r="W2" s="205"/>
      <c r="X2" s="204" t="s">
        <v>45</v>
      </c>
      <c r="Y2" s="205"/>
      <c r="Z2" s="205"/>
      <c r="AA2" s="205"/>
      <c r="AB2" s="204" t="s">
        <v>47</v>
      </c>
      <c r="AC2" s="205"/>
      <c r="AD2" s="205"/>
      <c r="AE2" s="205"/>
      <c r="AF2" s="204" t="s">
        <v>48</v>
      </c>
      <c r="AG2" s="205"/>
      <c r="AH2" s="205"/>
      <c r="AI2" s="205"/>
      <c r="AJ2" s="201" t="s">
        <v>51</v>
      </c>
      <c r="AK2" s="202"/>
      <c r="AL2" s="202"/>
      <c r="AM2" s="203"/>
      <c r="AN2" s="201" t="s">
        <v>14</v>
      </c>
      <c r="AO2" s="202"/>
      <c r="AP2" s="202"/>
      <c r="AQ2" s="203"/>
      <c r="AR2" s="201" t="s">
        <v>52</v>
      </c>
      <c r="AS2" s="202"/>
      <c r="AT2" s="202"/>
      <c r="AU2" s="203"/>
      <c r="AV2" s="205" t="s">
        <v>16</v>
      </c>
      <c r="AW2" s="205"/>
      <c r="AX2" s="205"/>
      <c r="AY2" s="205"/>
      <c r="AZ2" s="205" t="s">
        <v>54</v>
      </c>
      <c r="BA2" s="205"/>
      <c r="BB2" s="205"/>
      <c r="BC2" s="205"/>
      <c r="BD2" s="204" t="s">
        <v>55</v>
      </c>
      <c r="BE2" s="205"/>
      <c r="BF2" s="215"/>
      <c r="BG2" s="205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0.77569999999999995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0.19430000000000003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0.62140000000000006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0.34859999999999991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0.58150000000000002</v>
      </c>
      <c r="AT6" s="14">
        <f t="shared" si="48"/>
        <v>0</v>
      </c>
      <c r="AU6" s="54">
        <f t="shared" si="49"/>
        <v>0.38849999999999996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0.56040000000000001</v>
      </c>
      <c r="AT7" s="14">
        <f t="shared" si="48"/>
        <v>0</v>
      </c>
      <c r="AU7" s="54">
        <f t="shared" si="49"/>
        <v>0.40959999999999996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58</v>
      </c>
      <c r="AD8" s="14">
        <f t="shared" si="40"/>
        <v>1.9333333333333333</v>
      </c>
      <c r="AE8" s="52">
        <f t="shared" si="41"/>
        <v>-28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0.69769999999999999</v>
      </c>
      <c r="AT8" s="14">
        <f t="shared" si="48"/>
        <v>0</v>
      </c>
      <c r="AU8" s="54">
        <f t="shared" si="49"/>
        <v>0.27229999999999999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12</v>
      </c>
      <c r="F10" s="14">
        <f t="shared" si="28"/>
        <v>1.7142857142857142</v>
      </c>
      <c r="G10" s="52">
        <f t="shared" si="29"/>
        <v>-5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0.65110000000000001</v>
      </c>
      <c r="AT10" s="14">
        <f t="shared" si="48"/>
        <v>0</v>
      </c>
      <c r="AU10" s="54">
        <f t="shared" si="49"/>
        <v>0.31889999999999996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0.73060000000000003</v>
      </c>
      <c r="AT11" s="14">
        <f t="shared" si="48"/>
        <v>0</v>
      </c>
      <c r="AU11" s="54">
        <f t="shared" si="49"/>
        <v>0.23939999999999995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0.30780000000000002</v>
      </c>
      <c r="AT12" s="14">
        <f t="shared" si="48"/>
        <v>0</v>
      </c>
      <c r="AU12" s="54">
        <f t="shared" si="49"/>
        <v>0.6621999999999999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0.51369999999999993</v>
      </c>
      <c r="AT13" s="14">
        <f t="shared" si="48"/>
        <v>0</v>
      </c>
      <c r="AU13" s="54">
        <f t="shared" si="49"/>
        <v>0.45630000000000004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0.73530000000000006</v>
      </c>
      <c r="AT14" s="14">
        <f t="shared" si="48"/>
        <v>0</v>
      </c>
      <c r="AU14" s="54">
        <f t="shared" si="49"/>
        <v>0.23469999999999991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39</v>
      </c>
      <c r="AD15" s="14">
        <f t="shared" si="40"/>
        <v>1.3</v>
      </c>
      <c r="AE15" s="52">
        <f t="shared" si="41"/>
        <v>-9</v>
      </c>
      <c r="AF15" s="57">
        <f>VLOOKUP(A15,'Giao CT'!$D$6:$S$20,10,0)</f>
        <v>8</v>
      </c>
      <c r="AG15" s="13">
        <f>VLOOKUP(A15,GBOC!$E$7:$DG$29,$B$28,0)</f>
        <v>4</v>
      </c>
      <c r="AH15" s="14">
        <f t="shared" si="42"/>
        <v>0.5</v>
      </c>
      <c r="AI15" s="52">
        <f t="shared" si="43"/>
        <v>4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0.62530000000000008</v>
      </c>
      <c r="AT15" s="14">
        <f t="shared" si="48"/>
        <v>0</v>
      </c>
      <c r="AU15" s="54">
        <f t="shared" si="49"/>
        <v>0.3446999999999999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7</v>
      </c>
      <c r="V16" s="14">
        <f t="shared" si="36"/>
        <v>1.75</v>
      </c>
      <c r="W16" s="50">
        <f t="shared" si="37"/>
        <v>-3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170</v>
      </c>
      <c r="AD16" s="14">
        <f t="shared" si="40"/>
        <v>2.8333333333333335</v>
      </c>
      <c r="AE16" s="52">
        <f t="shared" si="41"/>
        <v>-110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0.7369</v>
      </c>
      <c r="AT16" s="14">
        <f t="shared" si="48"/>
        <v>0</v>
      </c>
      <c r="AU16" s="54">
        <f t="shared" si="49"/>
        <v>0.23309999999999997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416852773</v>
      </c>
      <c r="D19" s="142">
        <f ca="1">B19*0.968-C19</f>
        <v>206321298.25599992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660448651</v>
      </c>
      <c r="D20" s="142">
        <f ca="1">B20*0.968-C20</f>
        <v>283535275.77600002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5</v>
      </c>
      <c r="I7" s="197">
        <v>7</v>
      </c>
      <c r="J7" s="197">
        <v>0</v>
      </c>
      <c r="K7" s="197">
        <v>12</v>
      </c>
      <c r="L7" s="197">
        <v>228.57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200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0</v>
      </c>
      <c r="AJ7" s="197">
        <v>200</v>
      </c>
      <c r="AK7" s="197">
        <v>200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26</v>
      </c>
      <c r="AW7" s="197">
        <v>35</v>
      </c>
      <c r="AX7" s="197">
        <v>0</v>
      </c>
      <c r="AY7" s="197">
        <v>37</v>
      </c>
      <c r="AZ7" s="197">
        <v>140.94999999999999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106.67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0</v>
      </c>
      <c r="BW7" s="197">
        <v>0</v>
      </c>
      <c r="BX7" s="197">
        <v>0</v>
      </c>
      <c r="BY7" s="197">
        <v>0</v>
      </c>
      <c r="BZ7" s="197">
        <v>0</v>
      </c>
      <c r="CA7" s="197">
        <v>100</v>
      </c>
      <c r="CB7" s="197">
        <v>6</v>
      </c>
      <c r="CC7" s="197">
        <v>8</v>
      </c>
      <c r="CD7" s="197">
        <v>0</v>
      </c>
      <c r="CE7" s="197">
        <v>5</v>
      </c>
      <c r="CF7" s="197">
        <v>83.33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300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166.67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800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5</v>
      </c>
      <c r="I8" s="197">
        <v>7</v>
      </c>
      <c r="J8" s="197">
        <v>0</v>
      </c>
      <c r="K8" s="197">
        <v>12</v>
      </c>
      <c r="L8" s="197">
        <v>228.57</v>
      </c>
      <c r="M8" s="197">
        <v>171.43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133.33000000000001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146.66999999999999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23</v>
      </c>
      <c r="AW8" s="197">
        <v>30</v>
      </c>
      <c r="AX8" s="197">
        <v>0</v>
      </c>
      <c r="AY8" s="197">
        <v>71</v>
      </c>
      <c r="AZ8" s="197">
        <v>315.56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133.33000000000001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6</v>
      </c>
      <c r="CC8" s="197">
        <v>8</v>
      </c>
      <c r="CD8" s="197">
        <v>0</v>
      </c>
      <c r="CE8" s="197">
        <v>10</v>
      </c>
      <c r="CF8" s="197">
        <v>166.67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233.33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133.33000000000001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800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5</v>
      </c>
      <c r="I9" s="197">
        <v>7</v>
      </c>
      <c r="J9" s="197">
        <v>0</v>
      </c>
      <c r="K9" s="197">
        <v>12</v>
      </c>
      <c r="L9" s="197">
        <v>228.57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133.33000000000001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44.44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23</v>
      </c>
      <c r="AW9" s="197">
        <v>30</v>
      </c>
      <c r="AX9" s="197">
        <v>0</v>
      </c>
      <c r="AY9" s="197">
        <v>27</v>
      </c>
      <c r="AZ9" s="197">
        <v>120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133.33000000000001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6</v>
      </c>
      <c r="CC9" s="197">
        <v>8</v>
      </c>
      <c r="CD9" s="197">
        <v>0</v>
      </c>
      <c r="CE9" s="197">
        <v>6</v>
      </c>
      <c r="CF9" s="197">
        <v>100</v>
      </c>
      <c r="CG9" s="197">
        <v>75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100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222.22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266.67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5</v>
      </c>
      <c r="I10" s="197">
        <v>7</v>
      </c>
      <c r="J10" s="197">
        <v>0</v>
      </c>
      <c r="K10" s="197">
        <v>5</v>
      </c>
      <c r="L10" s="197">
        <v>95.24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177.78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155.56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23</v>
      </c>
      <c r="AW10" s="197">
        <v>30</v>
      </c>
      <c r="AX10" s="197">
        <v>0</v>
      </c>
      <c r="AY10" s="197">
        <v>9</v>
      </c>
      <c r="AZ10" s="197">
        <v>40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66.67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6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100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5</v>
      </c>
      <c r="I11" s="197">
        <v>7</v>
      </c>
      <c r="J11" s="197">
        <v>0</v>
      </c>
      <c r="K11" s="197">
        <v>8</v>
      </c>
      <c r="L11" s="197">
        <v>152.38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133.33000000000001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133.33000000000001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30</v>
      </c>
      <c r="AW11" s="197">
        <v>40</v>
      </c>
      <c r="AX11" s="197">
        <v>0</v>
      </c>
      <c r="AY11" s="197">
        <v>84</v>
      </c>
      <c r="AZ11" s="197">
        <v>280</v>
      </c>
      <c r="BA11" s="197">
        <v>210</v>
      </c>
      <c r="BB11" s="197">
        <v>1</v>
      </c>
      <c r="BC11" s="197">
        <v>8300</v>
      </c>
      <c r="BD11" s="197">
        <v>4</v>
      </c>
      <c r="BE11" s="197">
        <v>5</v>
      </c>
      <c r="BF11" s="197">
        <v>1</v>
      </c>
      <c r="BG11" s="197">
        <v>4</v>
      </c>
      <c r="BH11" s="197">
        <v>106.67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133.33000000000001</v>
      </c>
      <c r="BY11" s="197">
        <v>100</v>
      </c>
      <c r="BZ11" s="197">
        <v>0</v>
      </c>
      <c r="CA11" s="197">
        <v>100</v>
      </c>
      <c r="CB11" s="197">
        <v>6</v>
      </c>
      <c r="CC11" s="197">
        <v>8</v>
      </c>
      <c r="CD11" s="197">
        <v>0</v>
      </c>
      <c r="CE11" s="197">
        <v>7</v>
      </c>
      <c r="CF11" s="197">
        <v>116.67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100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100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8</v>
      </c>
      <c r="DD11" s="197">
        <v>1066.67</v>
      </c>
      <c r="DE11" s="197">
        <v>800</v>
      </c>
      <c r="DF11" s="197">
        <v>1</v>
      </c>
      <c r="DG11" s="197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5</v>
      </c>
      <c r="I12" s="197">
        <v>7</v>
      </c>
      <c r="J12" s="197">
        <v>0</v>
      </c>
      <c r="K12" s="197">
        <v>5</v>
      </c>
      <c r="L12" s="197">
        <v>95.24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88.89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2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23</v>
      </c>
      <c r="AW12" s="197">
        <v>30</v>
      </c>
      <c r="AX12" s="197">
        <v>0</v>
      </c>
      <c r="AY12" s="197">
        <v>26</v>
      </c>
      <c r="AZ12" s="197">
        <v>115.56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33.33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6</v>
      </c>
      <c r="CC12" s="197">
        <v>8</v>
      </c>
      <c r="CD12" s="197">
        <v>0</v>
      </c>
      <c r="CE12" s="197">
        <v>3</v>
      </c>
      <c r="CF12" s="197">
        <v>50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66.67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133.33000000000001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400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6</v>
      </c>
      <c r="I13" s="197">
        <v>8</v>
      </c>
      <c r="J13" s="197">
        <v>0</v>
      </c>
      <c r="K13" s="197">
        <v>8</v>
      </c>
      <c r="L13" s="197">
        <v>133.33000000000001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100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146.66999999999999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38</v>
      </c>
      <c r="AW13" s="197">
        <v>50</v>
      </c>
      <c r="AX13" s="197">
        <v>0</v>
      </c>
      <c r="AY13" s="197">
        <v>69</v>
      </c>
      <c r="AZ13" s="197">
        <v>184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106.67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162.96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26.67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100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5</v>
      </c>
      <c r="I14" s="197">
        <v>7</v>
      </c>
      <c r="J14" s="197">
        <v>0</v>
      </c>
      <c r="K14" s="197">
        <v>8</v>
      </c>
      <c r="L14" s="197">
        <v>152.38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166.67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66.67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1</v>
      </c>
      <c r="AJ14" s="197">
        <v>166.67</v>
      </c>
      <c r="AK14" s="197">
        <v>175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45</v>
      </c>
      <c r="AW14" s="197">
        <v>60</v>
      </c>
      <c r="AX14" s="197">
        <v>0</v>
      </c>
      <c r="AY14" s="197">
        <v>199</v>
      </c>
      <c r="AZ14" s="197">
        <v>442.22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80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800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133.33000000000001</v>
      </c>
      <c r="BY14" s="197">
        <v>100</v>
      </c>
      <c r="BZ14" s="197">
        <v>0</v>
      </c>
      <c r="CA14" s="197">
        <v>100</v>
      </c>
      <c r="CB14" s="197">
        <v>6</v>
      </c>
      <c r="CC14" s="197">
        <v>8</v>
      </c>
      <c r="CD14" s="197">
        <v>0</v>
      </c>
      <c r="CE14" s="197">
        <v>17</v>
      </c>
      <c r="CF14" s="197">
        <v>283.33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233.33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300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2000</v>
      </c>
      <c r="DE14" s="197">
        <v>1500</v>
      </c>
      <c r="DF14" s="197">
        <v>1</v>
      </c>
      <c r="DG14" s="197">
        <v>1400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6</v>
      </c>
      <c r="I15" s="197">
        <v>8</v>
      </c>
      <c r="J15" s="197">
        <v>0</v>
      </c>
      <c r="K15" s="197">
        <v>9</v>
      </c>
      <c r="L15" s="197">
        <v>150</v>
      </c>
      <c r="M15" s="197">
        <v>112.5</v>
      </c>
      <c r="N15" s="197">
        <v>0</v>
      </c>
      <c r="O15" s="197">
        <v>100</v>
      </c>
      <c r="P15" s="197">
        <v>3</v>
      </c>
      <c r="Q15" s="197">
        <v>4</v>
      </c>
      <c r="R15" s="197">
        <v>0</v>
      </c>
      <c r="S15" s="197">
        <v>2</v>
      </c>
      <c r="T15" s="197">
        <v>66.67</v>
      </c>
      <c r="U15" s="197">
        <v>50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23</v>
      </c>
      <c r="AW15" s="197">
        <v>30</v>
      </c>
      <c r="AX15" s="197">
        <v>0</v>
      </c>
      <c r="AY15" s="197">
        <v>60</v>
      </c>
      <c r="AZ15" s="197">
        <v>266.67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80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133.33000000000001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162.96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160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88.89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133.33000000000001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5</v>
      </c>
      <c r="I16" s="197">
        <v>7</v>
      </c>
      <c r="J16" s="197">
        <v>0</v>
      </c>
      <c r="K16" s="197">
        <v>5</v>
      </c>
      <c r="L16" s="197">
        <v>95.24</v>
      </c>
      <c r="M16" s="197">
        <v>71.430000000000007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66.67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33.33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26</v>
      </c>
      <c r="AW16" s="197">
        <v>35</v>
      </c>
      <c r="AX16" s="197">
        <v>0</v>
      </c>
      <c r="AY16" s="197">
        <v>92</v>
      </c>
      <c r="AZ16" s="197">
        <v>350.48</v>
      </c>
      <c r="BA16" s="197">
        <v>262.86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53.33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266.67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133.33000000000001</v>
      </c>
      <c r="BY16" s="197">
        <v>100</v>
      </c>
      <c r="BZ16" s="197">
        <v>0</v>
      </c>
      <c r="CA16" s="197">
        <v>100</v>
      </c>
      <c r="CB16" s="197">
        <v>6</v>
      </c>
      <c r="CC16" s="197">
        <v>8</v>
      </c>
      <c r="CD16" s="197">
        <v>0</v>
      </c>
      <c r="CE16" s="197">
        <v>6</v>
      </c>
      <c r="CF16" s="197">
        <v>100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133.33000000000001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0</v>
      </c>
      <c r="CU16" s="197">
        <v>7</v>
      </c>
      <c r="CV16" s="197">
        <v>233.33</v>
      </c>
      <c r="CW16" s="197">
        <v>175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9</v>
      </c>
      <c r="DD16" s="197">
        <v>1200</v>
      </c>
      <c r="DE16" s="197">
        <v>900</v>
      </c>
      <c r="DF16" s="197">
        <v>1</v>
      </c>
      <c r="DG16" s="197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5</v>
      </c>
      <c r="I17" s="197">
        <v>7</v>
      </c>
      <c r="J17" s="197">
        <v>0</v>
      </c>
      <c r="K17" s="197">
        <v>5</v>
      </c>
      <c r="L17" s="197">
        <v>95.24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200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44.44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1</v>
      </c>
      <c r="AJ17" s="197">
        <v>166.67</v>
      </c>
      <c r="AK17" s="197">
        <v>175</v>
      </c>
      <c r="AL17" s="197">
        <v>1</v>
      </c>
      <c r="AM17" s="197">
        <v>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26</v>
      </c>
      <c r="AW17" s="197">
        <v>35</v>
      </c>
      <c r="AX17" s="197">
        <v>0</v>
      </c>
      <c r="AY17" s="197">
        <v>57</v>
      </c>
      <c r="AZ17" s="197">
        <v>217.14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160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6</v>
      </c>
      <c r="CC17" s="197">
        <v>8</v>
      </c>
      <c r="CD17" s="197">
        <v>0</v>
      </c>
      <c r="CE17" s="197">
        <v>11</v>
      </c>
      <c r="CF17" s="197">
        <v>183.33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200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166.67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1333.33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5</v>
      </c>
      <c r="I18" s="197">
        <v>7</v>
      </c>
      <c r="J18" s="197">
        <v>0</v>
      </c>
      <c r="K18" s="197">
        <v>6</v>
      </c>
      <c r="L18" s="197">
        <v>114.29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300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44.44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120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23</v>
      </c>
      <c r="AW18" s="197">
        <v>30</v>
      </c>
      <c r="AX18" s="197">
        <v>0</v>
      </c>
      <c r="AY18" s="197">
        <v>66</v>
      </c>
      <c r="AZ18" s="197">
        <v>293.33</v>
      </c>
      <c r="BA18" s="197">
        <v>220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80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6</v>
      </c>
      <c r="CC18" s="197">
        <v>8</v>
      </c>
      <c r="CD18" s="197">
        <v>0</v>
      </c>
      <c r="CE18" s="197">
        <v>8</v>
      </c>
      <c r="CF18" s="197">
        <v>133.33000000000001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200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166.67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1200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6</v>
      </c>
      <c r="I19" s="197">
        <v>8</v>
      </c>
      <c r="J19" s="197">
        <v>0</v>
      </c>
      <c r="K19" s="197">
        <v>8</v>
      </c>
      <c r="L19" s="197">
        <v>133.33000000000001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66.67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146.66999999999999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23</v>
      </c>
      <c r="AW19" s="197">
        <v>30</v>
      </c>
      <c r="AX19" s="197">
        <v>0</v>
      </c>
      <c r="AY19" s="197">
        <v>13</v>
      </c>
      <c r="AZ19" s="197">
        <v>57.78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26.67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80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44.44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133.33000000000001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5</v>
      </c>
      <c r="I20" s="197">
        <v>7</v>
      </c>
      <c r="J20" s="197">
        <v>0</v>
      </c>
      <c r="K20" s="197">
        <v>6</v>
      </c>
      <c r="L20" s="197">
        <v>114.29</v>
      </c>
      <c r="M20" s="197">
        <v>85.71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166.67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23</v>
      </c>
      <c r="AW20" s="197">
        <v>30</v>
      </c>
      <c r="AX20" s="197">
        <v>0</v>
      </c>
      <c r="AY20" s="197">
        <v>39</v>
      </c>
      <c r="AZ20" s="197">
        <v>173.33</v>
      </c>
      <c r="BA20" s="197">
        <v>130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53.33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6</v>
      </c>
      <c r="CC20" s="197">
        <v>8</v>
      </c>
      <c r="CD20" s="197">
        <v>0</v>
      </c>
      <c r="CE20" s="197">
        <v>4</v>
      </c>
      <c r="CF20" s="197">
        <v>66.67</v>
      </c>
      <c r="CG20" s="197">
        <v>50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66.67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133.33000000000001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133.33000000000001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80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133.33000000000001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155.56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15</v>
      </c>
      <c r="AW21" s="197">
        <v>20</v>
      </c>
      <c r="AX21" s="197">
        <v>0</v>
      </c>
      <c r="AY21" s="197">
        <v>15</v>
      </c>
      <c r="AZ21" s="197">
        <v>100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26.67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6</v>
      </c>
      <c r="CC21" s="197">
        <v>8</v>
      </c>
      <c r="CD21" s="197">
        <v>0</v>
      </c>
      <c r="CE21" s="197">
        <v>1</v>
      </c>
      <c r="CF21" s="197">
        <v>16.670000000000002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100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88.89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1</v>
      </c>
      <c r="DD21" s="197">
        <v>133.33000000000001</v>
      </c>
      <c r="DE21" s="197">
        <v>100</v>
      </c>
      <c r="DF21" s="197">
        <v>1</v>
      </c>
      <c r="DG21" s="197">
        <v>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6</v>
      </c>
      <c r="I22" s="197">
        <v>8</v>
      </c>
      <c r="J22" s="197">
        <v>0</v>
      </c>
      <c r="K22" s="197">
        <v>8</v>
      </c>
      <c r="L22" s="197">
        <v>133.33000000000001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200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23</v>
      </c>
      <c r="AW22" s="197">
        <v>30</v>
      </c>
      <c r="AX22" s="197">
        <v>0</v>
      </c>
      <c r="AY22" s="197">
        <v>58</v>
      </c>
      <c r="AZ22" s="197">
        <v>257.77999999999997</v>
      </c>
      <c r="BA22" s="197">
        <v>193.33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80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266.67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162.96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80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133.33000000000001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266.67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5</v>
      </c>
      <c r="I23" s="197">
        <v>7</v>
      </c>
      <c r="J23" s="197">
        <v>0</v>
      </c>
      <c r="K23" s="197">
        <v>11</v>
      </c>
      <c r="L23" s="197">
        <v>209.52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166.67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45</v>
      </c>
      <c r="AW23" s="197">
        <v>60</v>
      </c>
      <c r="AX23" s="197">
        <v>0</v>
      </c>
      <c r="AY23" s="197">
        <v>170</v>
      </c>
      <c r="AZ23" s="197">
        <v>377.78</v>
      </c>
      <c r="BA23" s="197">
        <v>283.33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106.67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133.33000000000001</v>
      </c>
      <c r="BY23" s="197">
        <v>100</v>
      </c>
      <c r="BZ23" s="197">
        <v>0</v>
      </c>
      <c r="CA23" s="197">
        <v>100</v>
      </c>
      <c r="CB23" s="197">
        <v>6</v>
      </c>
      <c r="CC23" s="197">
        <v>8</v>
      </c>
      <c r="CD23" s="197">
        <v>0</v>
      </c>
      <c r="CE23" s="197">
        <v>21</v>
      </c>
      <c r="CF23" s="197">
        <v>350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166.67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0</v>
      </c>
      <c r="CU23" s="197">
        <v>7</v>
      </c>
      <c r="CV23" s="197">
        <v>233.33</v>
      </c>
      <c r="CW23" s="197">
        <v>175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2800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177.78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3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11</v>
      </c>
      <c r="AW24" s="197">
        <v>14</v>
      </c>
      <c r="AX24" s="197">
        <v>0</v>
      </c>
      <c r="AY24" s="197">
        <v>3</v>
      </c>
      <c r="AZ24" s="197">
        <v>28.57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133.33000000000001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88.89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129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1020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90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193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100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266.67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133.33000000000001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16</v>
      </c>
      <c r="AW27" s="197">
        <v>21</v>
      </c>
      <c r="AX27" s="197">
        <v>0</v>
      </c>
      <c r="AY27" s="197">
        <v>30</v>
      </c>
      <c r="AZ27" s="197">
        <v>190.48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44.44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133.33000000000001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133.33000000000001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88.89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44.44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400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6</v>
      </c>
      <c r="I28" s="197">
        <v>8</v>
      </c>
      <c r="J28" s="197">
        <v>0</v>
      </c>
      <c r="K28" s="197">
        <v>7</v>
      </c>
      <c r="L28" s="197">
        <v>116.67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200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120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33.33</v>
      </c>
      <c r="AS28" s="197">
        <v>25</v>
      </c>
      <c r="AT28" s="197">
        <v>0</v>
      </c>
      <c r="AU28" s="197">
        <v>100</v>
      </c>
      <c r="AV28" s="197">
        <v>23</v>
      </c>
      <c r="AW28" s="197">
        <v>30</v>
      </c>
      <c r="AX28" s="197">
        <v>0</v>
      </c>
      <c r="AY28" s="197">
        <v>33</v>
      </c>
      <c r="AZ28" s="197">
        <v>146.66999999999999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133.33000000000001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133.33000000000001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177.78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160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133.33000000000001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133.33000000000001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88.89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133.33000000000001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11</v>
      </c>
      <c r="AW29" s="197">
        <v>14</v>
      </c>
      <c r="AX29" s="197">
        <v>0</v>
      </c>
      <c r="AY29" s="197">
        <v>13</v>
      </c>
      <c r="AZ29" s="197">
        <v>123.81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80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44.44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177.78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133.33000000000001</v>
      </c>
      <c r="DE29" s="197">
        <v>100</v>
      </c>
      <c r="DF29" s="197">
        <v>0</v>
      </c>
      <c r="DG29" s="197">
        <v>100</v>
      </c>
    </row>
  </sheetData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5" t="s">
        <v>5</v>
      </c>
      <c r="C3" s="101" t="s">
        <v>200</v>
      </c>
      <c r="D3" s="101" t="s">
        <v>201</v>
      </c>
      <c r="E3" s="247" t="s">
        <v>202</v>
      </c>
      <c r="F3" s="243" t="s">
        <v>6</v>
      </c>
      <c r="G3" s="243" t="s">
        <v>7</v>
      </c>
      <c r="H3" s="243" t="s">
        <v>8</v>
      </c>
      <c r="I3" s="243" t="s">
        <v>9</v>
      </c>
      <c r="J3" s="243" t="s">
        <v>10</v>
      </c>
      <c r="K3" s="243" t="s">
        <v>11</v>
      </c>
      <c r="L3" s="243" t="s">
        <v>12</v>
      </c>
      <c r="M3" s="243" t="s">
        <v>203</v>
      </c>
      <c r="N3" s="243" t="s">
        <v>286</v>
      </c>
      <c r="O3" s="243" t="s">
        <v>14</v>
      </c>
      <c r="P3" s="243" t="s">
        <v>15</v>
      </c>
      <c r="Q3" s="243" t="s">
        <v>16</v>
      </c>
      <c r="R3" s="243" t="s">
        <v>17</v>
      </c>
      <c r="S3" s="243" t="s">
        <v>18</v>
      </c>
      <c r="T3" s="99"/>
    </row>
    <row r="4" spans="1:20" ht="21" customHeight="1" x14ac:dyDescent="0.45">
      <c r="A4" s="100"/>
      <c r="B4" s="246"/>
      <c r="C4" s="101"/>
      <c r="D4" s="101"/>
      <c r="E4" s="248"/>
      <c r="F4" s="244"/>
      <c r="G4" s="244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6" t="s">
        <v>240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M1" s="259" t="s">
        <v>241</v>
      </c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</row>
    <row r="2" spans="1:48" ht="24.5" customHeight="1" x14ac:dyDescent="0.45">
      <c r="A2" s="257"/>
      <c r="B2" s="257"/>
      <c r="C2" s="257"/>
      <c r="D2" s="257"/>
      <c r="E2" s="257"/>
      <c r="F2" s="257"/>
      <c r="G2" s="257"/>
      <c r="H2" s="257"/>
      <c r="I2" s="257"/>
      <c r="J2" s="257"/>
      <c r="K2" s="257"/>
      <c r="M2" s="260"/>
      <c r="N2" s="260"/>
      <c r="O2" s="260"/>
      <c r="P2" s="260"/>
      <c r="Q2" s="260"/>
      <c r="R2" s="260"/>
      <c r="S2" s="260"/>
      <c r="T2" s="260"/>
      <c r="U2" s="260"/>
      <c r="V2" s="260"/>
      <c r="W2" s="260"/>
      <c r="X2" s="260"/>
      <c r="Y2" s="260"/>
      <c r="Z2" s="260"/>
    </row>
    <row r="3" spans="1:48" ht="26.25" customHeight="1" x14ac:dyDescent="0.45">
      <c r="A3" s="253" t="s">
        <v>0</v>
      </c>
      <c r="B3" s="254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8" t="s">
        <v>34</v>
      </c>
      <c r="N3" s="204" t="s">
        <v>250</v>
      </c>
      <c r="O3" s="205"/>
      <c r="P3" s="205"/>
      <c r="Q3" s="205"/>
      <c r="R3" s="261" t="s">
        <v>251</v>
      </c>
      <c r="S3" s="204" t="s">
        <v>252</v>
      </c>
      <c r="T3" s="205"/>
      <c r="U3" s="205"/>
      <c r="V3" s="205"/>
      <c r="W3" s="261" t="s">
        <v>251</v>
      </c>
      <c r="X3" s="207" t="s">
        <v>41</v>
      </c>
      <c r="Y3" s="208"/>
      <c r="Z3" s="208"/>
      <c r="AA3" s="261" t="s">
        <v>251</v>
      </c>
      <c r="AB3" s="71"/>
      <c r="AC3" s="204" t="s">
        <v>42</v>
      </c>
      <c r="AD3" s="205"/>
      <c r="AE3" s="205"/>
      <c r="AF3" s="205"/>
      <c r="AG3" s="204" t="s">
        <v>43</v>
      </c>
      <c r="AH3" s="205"/>
      <c r="AI3" s="205"/>
      <c r="AJ3" s="205"/>
      <c r="AK3" s="204" t="s">
        <v>44</v>
      </c>
      <c r="AL3" s="205"/>
      <c r="AM3" s="205"/>
      <c r="AN3" s="205"/>
      <c r="AO3" s="204" t="s">
        <v>46</v>
      </c>
      <c r="AP3" s="205"/>
      <c r="AQ3" s="205"/>
      <c r="AR3" s="205"/>
      <c r="AS3" s="204" t="s">
        <v>47</v>
      </c>
      <c r="AT3" s="205"/>
      <c r="AU3" s="205"/>
      <c r="AV3" s="205"/>
    </row>
    <row r="4" spans="1:48" ht="22.25" customHeight="1" x14ac:dyDescent="0.45">
      <c r="A4" s="253"/>
      <c r="B4" s="255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8"/>
      <c r="N4" s="8" t="s">
        <v>2</v>
      </c>
      <c r="O4" s="9" t="s">
        <v>58</v>
      </c>
      <c r="P4" s="9" t="s">
        <v>4</v>
      </c>
      <c r="Q4" s="51" t="s">
        <v>59</v>
      </c>
      <c r="R4" s="262"/>
      <c r="S4" s="8" t="s">
        <v>2</v>
      </c>
      <c r="T4" s="9" t="s">
        <v>58</v>
      </c>
      <c r="U4" s="31" t="s">
        <v>4</v>
      </c>
      <c r="V4" s="51" t="s">
        <v>59</v>
      </c>
      <c r="W4" s="262"/>
      <c r="X4" s="8" t="s">
        <v>2</v>
      </c>
      <c r="Y4" s="9" t="s">
        <v>58</v>
      </c>
      <c r="Z4" s="9" t="s">
        <v>4</v>
      </c>
      <c r="AA4" s="262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T25" sqref="T25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5"/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</row>
    <row r="2" spans="1:23" hidden="1" x14ac:dyDescent="0.45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</row>
    <row r="3" spans="1:23" hidden="1" x14ac:dyDescent="0.45">
      <c r="A3" s="267"/>
      <c r="B3" s="267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9" t="s">
        <v>255</v>
      </c>
      <c r="B4" s="269" t="s">
        <v>39</v>
      </c>
      <c r="C4" s="141"/>
      <c r="D4" s="141"/>
      <c r="E4" s="141"/>
      <c r="F4" s="141"/>
      <c r="G4" s="141"/>
      <c r="H4" s="268"/>
      <c r="I4" s="268"/>
      <c r="J4" s="268"/>
      <c r="K4" s="268"/>
      <c r="L4" s="268"/>
      <c r="M4" s="268"/>
      <c r="N4" s="268"/>
      <c r="O4" s="268"/>
      <c r="P4" s="268"/>
    </row>
    <row r="5" spans="1:23" x14ac:dyDescent="0.45">
      <c r="A5" s="272"/>
      <c r="B5" s="272"/>
      <c r="C5" s="269" t="s">
        <v>256</v>
      </c>
      <c r="D5" s="269" t="s">
        <v>257</v>
      </c>
      <c r="E5" s="270"/>
      <c r="F5" s="269" t="s">
        <v>258</v>
      </c>
      <c r="G5" s="270"/>
      <c r="H5" s="269" t="s">
        <v>259</v>
      </c>
      <c r="I5" s="270"/>
      <c r="J5" s="269" t="s">
        <v>260</v>
      </c>
      <c r="K5" s="270"/>
      <c r="L5" s="273" t="s">
        <v>261</v>
      </c>
      <c r="M5" s="270"/>
      <c r="N5" s="268" t="s">
        <v>262</v>
      </c>
      <c r="O5" s="274"/>
      <c r="P5" s="269" t="s">
        <v>266</v>
      </c>
      <c r="R5" s="264" t="s">
        <v>34</v>
      </c>
      <c r="S5" s="264" t="s">
        <v>290</v>
      </c>
      <c r="T5" s="264" t="s">
        <v>291</v>
      </c>
      <c r="U5" s="264" t="s">
        <v>293</v>
      </c>
      <c r="V5" s="263" t="s">
        <v>292</v>
      </c>
      <c r="W5" s="172"/>
    </row>
    <row r="6" spans="1:23" x14ac:dyDescent="0.45">
      <c r="A6" s="271"/>
      <c r="B6" s="271"/>
      <c r="C6" s="272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1"/>
      <c r="R6" s="264"/>
      <c r="S6" s="264"/>
      <c r="T6" s="264"/>
      <c r="U6" s="264"/>
      <c r="V6" s="264"/>
      <c r="W6" s="172"/>
    </row>
    <row r="7" spans="1:23" x14ac:dyDescent="0.45">
      <c r="A7" s="190" t="s">
        <v>288</v>
      </c>
      <c r="B7" s="190" t="s">
        <v>68</v>
      </c>
      <c r="C7" s="190" t="s">
        <v>69</v>
      </c>
      <c r="D7" s="191">
        <v>434</v>
      </c>
      <c r="E7" s="191">
        <v>72573808</v>
      </c>
      <c r="F7" s="191">
        <v>0</v>
      </c>
      <c r="G7" s="191">
        <v>0</v>
      </c>
      <c r="H7" s="191">
        <v>434</v>
      </c>
      <c r="I7" s="191">
        <v>72573808</v>
      </c>
      <c r="J7" s="191">
        <v>0</v>
      </c>
      <c r="K7" s="191">
        <v>0</v>
      </c>
      <c r="L7" s="191">
        <v>359</v>
      </c>
      <c r="M7" s="191">
        <v>58519396</v>
      </c>
      <c r="N7" s="192">
        <v>82.72</v>
      </c>
      <c r="O7" s="192">
        <v>80.63</v>
      </c>
      <c r="P7" s="135">
        <f>I7*0.97-M7</f>
        <v>11877197.760000005</v>
      </c>
      <c r="R7" s="173" t="s">
        <v>117</v>
      </c>
      <c r="S7" s="176">
        <f>VLOOKUP(R7,$C$7:$P$27,7,0)</f>
        <v>101866340</v>
      </c>
      <c r="T7" s="175">
        <v>28364732.799999997</v>
      </c>
      <c r="U7" s="189">
        <f>VLOOKUP(R7,$C$7:$P$27,14,0)</f>
        <v>27733838.799999997</v>
      </c>
      <c r="V7" s="175">
        <f>VLOOKUP(R7,$C$7:$P$27,14,0)-T7</f>
        <v>-630894</v>
      </c>
    </row>
    <row r="8" spans="1:23" x14ac:dyDescent="0.45">
      <c r="A8" s="193" t="s">
        <v>288</v>
      </c>
      <c r="B8" s="193" t="s">
        <v>101</v>
      </c>
      <c r="C8" s="193" t="s">
        <v>102</v>
      </c>
      <c r="D8" s="194">
        <v>454</v>
      </c>
      <c r="E8" s="194">
        <v>70243418</v>
      </c>
      <c r="F8" s="194">
        <v>0</v>
      </c>
      <c r="G8" s="194">
        <v>0</v>
      </c>
      <c r="H8" s="194">
        <v>454</v>
      </c>
      <c r="I8" s="194">
        <v>70243418</v>
      </c>
      <c r="J8" s="194">
        <v>0</v>
      </c>
      <c r="K8" s="194">
        <v>0</v>
      </c>
      <c r="L8" s="194">
        <v>347</v>
      </c>
      <c r="M8" s="194">
        <v>55273476</v>
      </c>
      <c r="N8" s="195">
        <v>76.430000000000007</v>
      </c>
      <c r="O8" s="195">
        <v>78.69</v>
      </c>
      <c r="P8" s="135">
        <f t="shared" ref="P8:P27" si="0">I8*0.97-M8</f>
        <v>12862639.459999993</v>
      </c>
      <c r="R8" s="173" t="s">
        <v>67</v>
      </c>
      <c r="S8" s="176">
        <f t="shared" ref="S8:S17" si="1">VLOOKUP(R8,$C$7:$P$27,7,0)</f>
        <v>145101823</v>
      </c>
      <c r="T8" s="175">
        <v>30365590.310000002</v>
      </c>
      <c r="U8" s="189">
        <f t="shared" ref="U8:U17" si="2">VLOOKUP(R8,$C$7:$P$27,14,0)</f>
        <v>28193862.310000002</v>
      </c>
      <c r="V8" s="175">
        <f t="shared" ref="V8:V17" si="3">VLOOKUP(R8,$C$7:$P$27,14,0)-T8</f>
        <v>-2171728</v>
      </c>
    </row>
    <row r="9" spans="1:23" x14ac:dyDescent="0.45">
      <c r="A9" s="190" t="s">
        <v>128</v>
      </c>
      <c r="B9" s="190" t="s">
        <v>66</v>
      </c>
      <c r="C9" s="190" t="s">
        <v>67</v>
      </c>
      <c r="D9" s="191">
        <v>876</v>
      </c>
      <c r="E9" s="191">
        <v>145101823</v>
      </c>
      <c r="F9" s="191">
        <v>0</v>
      </c>
      <c r="G9" s="191">
        <v>0</v>
      </c>
      <c r="H9" s="191">
        <v>876</v>
      </c>
      <c r="I9" s="191">
        <v>145101823</v>
      </c>
      <c r="J9" s="191">
        <v>0</v>
      </c>
      <c r="K9" s="191">
        <v>0</v>
      </c>
      <c r="L9" s="191">
        <v>659</v>
      </c>
      <c r="M9" s="191">
        <v>112554906</v>
      </c>
      <c r="N9" s="192">
        <v>75.23</v>
      </c>
      <c r="O9" s="192">
        <v>77.569999999999993</v>
      </c>
      <c r="P9" s="135">
        <f t="shared" si="0"/>
        <v>28193862.310000002</v>
      </c>
      <c r="R9" s="174" t="s">
        <v>87</v>
      </c>
      <c r="S9" s="176">
        <f t="shared" si="1"/>
        <v>141474291</v>
      </c>
      <c r="T9" s="175">
        <v>50054171.270000011</v>
      </c>
      <c r="U9" s="189">
        <f t="shared" si="2"/>
        <v>49323447.270000011</v>
      </c>
      <c r="V9" s="175">
        <f t="shared" si="3"/>
        <v>-730724</v>
      </c>
    </row>
    <row r="10" spans="1:23" x14ac:dyDescent="0.45">
      <c r="A10" s="193" t="s">
        <v>288</v>
      </c>
      <c r="B10" s="193" t="s">
        <v>122</v>
      </c>
      <c r="C10" s="193" t="s">
        <v>123</v>
      </c>
      <c r="D10" s="194">
        <v>308</v>
      </c>
      <c r="E10" s="194">
        <v>51982396</v>
      </c>
      <c r="F10" s="194">
        <v>0</v>
      </c>
      <c r="G10" s="194">
        <v>0</v>
      </c>
      <c r="H10" s="194">
        <v>308</v>
      </c>
      <c r="I10" s="194">
        <v>51982396</v>
      </c>
      <c r="J10" s="194">
        <v>0</v>
      </c>
      <c r="K10" s="194">
        <v>0</v>
      </c>
      <c r="L10" s="194">
        <v>230</v>
      </c>
      <c r="M10" s="194">
        <v>39136420</v>
      </c>
      <c r="N10" s="195">
        <v>74.680000000000007</v>
      </c>
      <c r="O10" s="195">
        <v>75.290000000000006</v>
      </c>
      <c r="P10" s="135">
        <f t="shared" si="0"/>
        <v>11286504.119999997</v>
      </c>
      <c r="R10" s="174" t="s">
        <v>110</v>
      </c>
      <c r="S10" s="176">
        <f t="shared" si="1"/>
        <v>149379338</v>
      </c>
      <c r="T10" s="175">
        <v>72071520.859999985</v>
      </c>
      <c r="U10" s="189">
        <f t="shared" si="2"/>
        <v>61189812.859999985</v>
      </c>
      <c r="V10" s="175">
        <f t="shared" si="3"/>
        <v>-10881708</v>
      </c>
    </row>
    <row r="11" spans="1:23" x14ac:dyDescent="0.45">
      <c r="A11" s="190" t="s">
        <v>288</v>
      </c>
      <c r="B11" s="190" t="s">
        <v>114</v>
      </c>
      <c r="C11" s="190" t="s">
        <v>115</v>
      </c>
      <c r="D11" s="191">
        <v>559</v>
      </c>
      <c r="E11" s="191">
        <v>93597302</v>
      </c>
      <c r="F11" s="191">
        <v>0</v>
      </c>
      <c r="G11" s="191">
        <v>0</v>
      </c>
      <c r="H11" s="191">
        <v>559</v>
      </c>
      <c r="I11" s="191">
        <v>93597302</v>
      </c>
      <c r="J11" s="191">
        <v>2</v>
      </c>
      <c r="K11" s="191">
        <v>437242</v>
      </c>
      <c r="L11" s="191">
        <v>407</v>
      </c>
      <c r="M11" s="191">
        <v>69995324</v>
      </c>
      <c r="N11" s="192">
        <v>72.81</v>
      </c>
      <c r="O11" s="192">
        <v>74.78</v>
      </c>
      <c r="P11" s="135">
        <f t="shared" si="0"/>
        <v>20794058.939999998</v>
      </c>
      <c r="R11" s="173" t="s">
        <v>99</v>
      </c>
      <c r="S11" s="176">
        <f t="shared" si="1"/>
        <v>105953075</v>
      </c>
      <c r="T11" s="175">
        <v>47316978.75</v>
      </c>
      <c r="U11" s="189">
        <f t="shared" si="2"/>
        <v>41167886.75</v>
      </c>
      <c r="V11" s="175">
        <f t="shared" si="3"/>
        <v>-6149092</v>
      </c>
    </row>
    <row r="12" spans="1:23" x14ac:dyDescent="0.45">
      <c r="A12" s="193" t="s">
        <v>288</v>
      </c>
      <c r="B12" s="193" t="s">
        <v>104</v>
      </c>
      <c r="C12" s="193" t="s">
        <v>105</v>
      </c>
      <c r="D12" s="194">
        <v>716</v>
      </c>
      <c r="E12" s="194">
        <v>116427734</v>
      </c>
      <c r="F12" s="194">
        <v>0</v>
      </c>
      <c r="G12" s="194">
        <v>0</v>
      </c>
      <c r="H12" s="194">
        <v>716</v>
      </c>
      <c r="I12" s="194">
        <v>116427734</v>
      </c>
      <c r="J12" s="194">
        <v>1</v>
      </c>
      <c r="K12" s="194">
        <v>120000</v>
      </c>
      <c r="L12" s="194">
        <v>516</v>
      </c>
      <c r="M12" s="194">
        <v>87010486</v>
      </c>
      <c r="N12" s="195">
        <v>72.069999999999993</v>
      </c>
      <c r="O12" s="195">
        <v>74.73</v>
      </c>
      <c r="P12" s="135">
        <f t="shared" si="0"/>
        <v>25924415.980000004</v>
      </c>
      <c r="R12" s="173" t="s">
        <v>75</v>
      </c>
      <c r="S12" s="176">
        <f t="shared" si="1"/>
        <v>152862316</v>
      </c>
      <c r="T12" s="175">
        <v>37892448.520000011</v>
      </c>
      <c r="U12" s="189">
        <f t="shared" si="2"/>
        <v>36595448.520000011</v>
      </c>
      <c r="V12" s="175">
        <f t="shared" si="3"/>
        <v>-1297000</v>
      </c>
    </row>
    <row r="13" spans="1:23" x14ac:dyDescent="0.45">
      <c r="A13" s="190" t="s">
        <v>129</v>
      </c>
      <c r="B13" s="190" t="s">
        <v>118</v>
      </c>
      <c r="C13" s="190" t="s">
        <v>119</v>
      </c>
      <c r="D13" s="191">
        <v>1181</v>
      </c>
      <c r="E13" s="191">
        <v>189656153</v>
      </c>
      <c r="F13" s="191">
        <v>0</v>
      </c>
      <c r="G13" s="191">
        <v>0</v>
      </c>
      <c r="H13" s="191">
        <v>1181</v>
      </c>
      <c r="I13" s="191">
        <v>189656153</v>
      </c>
      <c r="J13" s="191">
        <v>0</v>
      </c>
      <c r="K13" s="191">
        <v>0</v>
      </c>
      <c r="L13" s="191">
        <v>854</v>
      </c>
      <c r="M13" s="191">
        <v>139760175</v>
      </c>
      <c r="N13" s="192">
        <v>72.31</v>
      </c>
      <c r="O13" s="192">
        <v>73.69</v>
      </c>
      <c r="P13" s="135">
        <f t="shared" si="0"/>
        <v>44206293.409999996</v>
      </c>
      <c r="R13" s="173" t="s">
        <v>107</v>
      </c>
      <c r="S13" s="176">
        <f t="shared" si="1"/>
        <v>180440547</v>
      </c>
      <c r="T13" s="175">
        <v>44203687.590000004</v>
      </c>
      <c r="U13" s="189">
        <f t="shared" si="2"/>
        <v>42346474.590000004</v>
      </c>
      <c r="V13" s="175">
        <f t="shared" si="3"/>
        <v>-1857213</v>
      </c>
    </row>
    <row r="14" spans="1:23" x14ac:dyDescent="0.45">
      <c r="A14" s="193" t="s">
        <v>129</v>
      </c>
      <c r="B14" s="193" t="s">
        <v>106</v>
      </c>
      <c r="C14" s="193" t="s">
        <v>107</v>
      </c>
      <c r="D14" s="194">
        <v>1048</v>
      </c>
      <c r="E14" s="194">
        <v>180440547</v>
      </c>
      <c r="F14" s="194">
        <v>0</v>
      </c>
      <c r="G14" s="194">
        <v>0</v>
      </c>
      <c r="H14" s="194">
        <v>1048</v>
      </c>
      <c r="I14" s="194">
        <v>180440547</v>
      </c>
      <c r="J14" s="194">
        <v>1</v>
      </c>
      <c r="K14" s="194">
        <v>160000</v>
      </c>
      <c r="L14" s="194">
        <v>748</v>
      </c>
      <c r="M14" s="194">
        <v>132680856</v>
      </c>
      <c r="N14" s="195">
        <v>71.37</v>
      </c>
      <c r="O14" s="195">
        <v>73.53</v>
      </c>
      <c r="P14" s="135">
        <f t="shared" si="0"/>
        <v>42346474.590000004</v>
      </c>
      <c r="R14" s="174" t="s">
        <v>72</v>
      </c>
      <c r="S14" s="176">
        <f t="shared" si="1"/>
        <v>162344260</v>
      </c>
      <c r="T14" s="175">
        <v>52686721.199999988</v>
      </c>
      <c r="U14" s="189">
        <f t="shared" si="2"/>
        <v>51774235.199999988</v>
      </c>
      <c r="V14" s="175">
        <f t="shared" si="3"/>
        <v>-912486</v>
      </c>
    </row>
    <row r="15" spans="1:23" x14ac:dyDescent="0.45">
      <c r="A15" s="190" t="s">
        <v>129</v>
      </c>
      <c r="B15" s="190" t="s">
        <v>74</v>
      </c>
      <c r="C15" s="190" t="s">
        <v>75</v>
      </c>
      <c r="D15" s="191">
        <v>941</v>
      </c>
      <c r="E15" s="191">
        <v>152862316</v>
      </c>
      <c r="F15" s="191">
        <v>0</v>
      </c>
      <c r="G15" s="191">
        <v>0</v>
      </c>
      <c r="H15" s="191">
        <v>941</v>
      </c>
      <c r="I15" s="191">
        <v>152862316</v>
      </c>
      <c r="J15" s="191">
        <v>0</v>
      </c>
      <c r="K15" s="191">
        <v>0</v>
      </c>
      <c r="L15" s="191">
        <v>647</v>
      </c>
      <c r="M15" s="191">
        <v>111680998</v>
      </c>
      <c r="N15" s="192">
        <v>68.760000000000005</v>
      </c>
      <c r="O15" s="192">
        <v>73.06</v>
      </c>
      <c r="P15" s="135">
        <f t="shared" si="0"/>
        <v>36595448.520000011</v>
      </c>
      <c r="R15" s="174" t="s">
        <v>113</v>
      </c>
      <c r="S15" s="176">
        <f t="shared" si="1"/>
        <v>194517020</v>
      </c>
      <c r="T15" s="175">
        <v>69099226.400000006</v>
      </c>
      <c r="U15" s="189">
        <f t="shared" si="2"/>
        <v>67045376.400000006</v>
      </c>
      <c r="V15" s="175">
        <f t="shared" si="3"/>
        <v>-2053850</v>
      </c>
    </row>
    <row r="16" spans="1:23" x14ac:dyDescent="0.45">
      <c r="A16" s="193" t="s">
        <v>288</v>
      </c>
      <c r="B16" s="193" t="s">
        <v>120</v>
      </c>
      <c r="C16" s="193" t="s">
        <v>121</v>
      </c>
      <c r="D16" s="194">
        <v>415</v>
      </c>
      <c r="E16" s="194">
        <v>66800107</v>
      </c>
      <c r="F16" s="194">
        <v>0</v>
      </c>
      <c r="G16" s="194">
        <v>0</v>
      </c>
      <c r="H16" s="194">
        <v>415</v>
      </c>
      <c r="I16" s="194">
        <v>66800107</v>
      </c>
      <c r="J16" s="194">
        <v>0</v>
      </c>
      <c r="K16" s="194">
        <v>0</v>
      </c>
      <c r="L16" s="194">
        <v>283</v>
      </c>
      <c r="M16" s="194">
        <v>47733487</v>
      </c>
      <c r="N16" s="195">
        <v>68.19</v>
      </c>
      <c r="O16" s="195">
        <v>71.459999999999994</v>
      </c>
      <c r="P16" s="135">
        <f t="shared" si="0"/>
        <v>17062616.789999999</v>
      </c>
      <c r="R16" s="174" t="s">
        <v>119</v>
      </c>
      <c r="S16" s="176">
        <f t="shared" si="1"/>
        <v>189656153</v>
      </c>
      <c r="T16" s="175">
        <v>46021487.409999996</v>
      </c>
      <c r="U16" s="189">
        <f t="shared" si="2"/>
        <v>44206293.409999996</v>
      </c>
      <c r="V16" s="175">
        <f t="shared" si="3"/>
        <v>-1815194</v>
      </c>
    </row>
    <row r="17" spans="1:22" x14ac:dyDescent="0.45">
      <c r="A17" s="190" t="s">
        <v>288</v>
      </c>
      <c r="B17" s="190" t="s">
        <v>89</v>
      </c>
      <c r="C17" s="190" t="s">
        <v>90</v>
      </c>
      <c r="D17" s="191">
        <v>356</v>
      </c>
      <c r="E17" s="191">
        <v>53605661</v>
      </c>
      <c r="F17" s="191">
        <v>0</v>
      </c>
      <c r="G17" s="191">
        <v>0</v>
      </c>
      <c r="H17" s="191">
        <v>356</v>
      </c>
      <c r="I17" s="191">
        <v>53605661</v>
      </c>
      <c r="J17" s="191">
        <v>0</v>
      </c>
      <c r="K17" s="191">
        <v>0</v>
      </c>
      <c r="L17" s="191">
        <v>234</v>
      </c>
      <c r="M17" s="191">
        <v>37565198</v>
      </c>
      <c r="N17" s="192">
        <v>65.73</v>
      </c>
      <c r="O17" s="192">
        <v>70.08</v>
      </c>
      <c r="P17" s="135">
        <f t="shared" si="0"/>
        <v>14432293.170000002</v>
      </c>
      <c r="R17" s="173" t="s">
        <v>84</v>
      </c>
      <c r="S17" s="176">
        <f t="shared" si="1"/>
        <v>95369711</v>
      </c>
      <c r="T17" s="175">
        <v>46235591.670000002</v>
      </c>
      <c r="U17" s="189">
        <f t="shared" si="2"/>
        <v>43517827.670000002</v>
      </c>
      <c r="V17" s="175">
        <f t="shared" si="3"/>
        <v>-2717764</v>
      </c>
    </row>
    <row r="18" spans="1:22" x14ac:dyDescent="0.45">
      <c r="A18" s="193" t="s">
        <v>128</v>
      </c>
      <c r="B18" s="193" t="s">
        <v>116</v>
      </c>
      <c r="C18" s="193" t="s">
        <v>117</v>
      </c>
      <c r="D18" s="194">
        <v>642</v>
      </c>
      <c r="E18" s="194">
        <v>101866340</v>
      </c>
      <c r="F18" s="194">
        <v>0</v>
      </c>
      <c r="G18" s="194">
        <v>0</v>
      </c>
      <c r="H18" s="194">
        <v>642</v>
      </c>
      <c r="I18" s="194">
        <v>101866340</v>
      </c>
      <c r="J18" s="194">
        <v>0</v>
      </c>
      <c r="K18" s="194">
        <v>0</v>
      </c>
      <c r="L18" s="194">
        <v>428</v>
      </c>
      <c r="M18" s="194">
        <v>71076511</v>
      </c>
      <c r="N18" s="195">
        <v>66.67</v>
      </c>
      <c r="O18" s="195">
        <v>69.77</v>
      </c>
      <c r="P18" s="135">
        <f t="shared" si="0"/>
        <v>27733838.799999997</v>
      </c>
    </row>
    <row r="19" spans="1:22" x14ac:dyDescent="0.45">
      <c r="A19" s="190" t="s">
        <v>288</v>
      </c>
      <c r="B19" s="190" t="s">
        <v>289</v>
      </c>
      <c r="C19" s="190" t="s">
        <v>284</v>
      </c>
      <c r="D19" s="191">
        <v>318</v>
      </c>
      <c r="E19" s="191">
        <v>50351985</v>
      </c>
      <c r="F19" s="191">
        <v>0</v>
      </c>
      <c r="G19" s="191">
        <v>0</v>
      </c>
      <c r="H19" s="191">
        <v>318</v>
      </c>
      <c r="I19" s="191">
        <v>50351985</v>
      </c>
      <c r="J19" s="191">
        <v>0</v>
      </c>
      <c r="K19" s="191">
        <v>0</v>
      </c>
      <c r="L19" s="191">
        <v>209</v>
      </c>
      <c r="M19" s="191">
        <v>34697236</v>
      </c>
      <c r="N19" s="192">
        <v>65.72</v>
      </c>
      <c r="O19" s="192">
        <v>68.91</v>
      </c>
      <c r="P19" s="135">
        <f t="shared" si="0"/>
        <v>14144189.449999996</v>
      </c>
    </row>
    <row r="20" spans="1:22" x14ac:dyDescent="0.45">
      <c r="A20" s="193" t="s">
        <v>129</v>
      </c>
      <c r="B20" s="193" t="s">
        <v>71</v>
      </c>
      <c r="C20" s="193" t="s">
        <v>72</v>
      </c>
      <c r="D20" s="194">
        <v>968</v>
      </c>
      <c r="E20" s="194">
        <v>162344260</v>
      </c>
      <c r="F20" s="194">
        <v>0</v>
      </c>
      <c r="G20" s="194">
        <v>0</v>
      </c>
      <c r="H20" s="194">
        <v>968</v>
      </c>
      <c r="I20" s="194">
        <v>162344260</v>
      </c>
      <c r="J20" s="194">
        <v>0</v>
      </c>
      <c r="K20" s="194">
        <v>0</v>
      </c>
      <c r="L20" s="194">
        <v>626</v>
      </c>
      <c r="M20" s="194">
        <v>105699697</v>
      </c>
      <c r="N20" s="195">
        <v>64.67</v>
      </c>
      <c r="O20" s="195">
        <v>65.11</v>
      </c>
      <c r="P20" s="135">
        <f t="shared" si="0"/>
        <v>51774235.199999988</v>
      </c>
    </row>
    <row r="21" spans="1:22" x14ac:dyDescent="0.45">
      <c r="A21" s="190" t="s">
        <v>129</v>
      </c>
      <c r="B21" s="190" t="s">
        <v>112</v>
      </c>
      <c r="C21" s="190" t="s">
        <v>113</v>
      </c>
      <c r="D21" s="191">
        <v>1198</v>
      </c>
      <c r="E21" s="191">
        <v>194517020</v>
      </c>
      <c r="F21" s="191">
        <v>0</v>
      </c>
      <c r="G21" s="191">
        <v>0</v>
      </c>
      <c r="H21" s="191">
        <v>1198</v>
      </c>
      <c r="I21" s="191">
        <v>194517020</v>
      </c>
      <c r="J21" s="191">
        <v>0</v>
      </c>
      <c r="K21" s="191">
        <v>0</v>
      </c>
      <c r="L21" s="191">
        <v>731</v>
      </c>
      <c r="M21" s="191">
        <v>121636133</v>
      </c>
      <c r="N21" s="192">
        <v>61.02</v>
      </c>
      <c r="O21" s="192">
        <v>62.53</v>
      </c>
      <c r="P21" s="135">
        <f t="shared" si="0"/>
        <v>67045376.400000006</v>
      </c>
    </row>
    <row r="22" spans="1:22" x14ac:dyDescent="0.45">
      <c r="A22" s="193" t="s">
        <v>128</v>
      </c>
      <c r="B22" s="193" t="s">
        <v>86</v>
      </c>
      <c r="C22" s="193" t="s">
        <v>87</v>
      </c>
      <c r="D22" s="194">
        <v>853</v>
      </c>
      <c r="E22" s="194">
        <v>141474291</v>
      </c>
      <c r="F22" s="194">
        <v>0</v>
      </c>
      <c r="G22" s="194">
        <v>0</v>
      </c>
      <c r="H22" s="194">
        <v>853</v>
      </c>
      <c r="I22" s="194">
        <v>141474291</v>
      </c>
      <c r="J22" s="194">
        <v>0</v>
      </c>
      <c r="K22" s="194">
        <v>0</v>
      </c>
      <c r="L22" s="194">
        <v>521</v>
      </c>
      <c r="M22" s="194">
        <v>87906615</v>
      </c>
      <c r="N22" s="195">
        <v>61.08</v>
      </c>
      <c r="O22" s="195">
        <v>62.14</v>
      </c>
      <c r="P22" s="135">
        <f t="shared" si="0"/>
        <v>49323447.270000011</v>
      </c>
    </row>
    <row r="23" spans="1:22" x14ac:dyDescent="0.45">
      <c r="A23" s="190" t="s">
        <v>128</v>
      </c>
      <c r="B23" s="190" t="s">
        <v>98</v>
      </c>
      <c r="C23" s="190" t="s">
        <v>99</v>
      </c>
      <c r="D23" s="191">
        <v>687</v>
      </c>
      <c r="E23" s="191">
        <v>105953075</v>
      </c>
      <c r="F23" s="191">
        <v>0</v>
      </c>
      <c r="G23" s="191">
        <v>0</v>
      </c>
      <c r="H23" s="191">
        <v>687</v>
      </c>
      <c r="I23" s="191">
        <v>105953075</v>
      </c>
      <c r="J23" s="191">
        <v>0</v>
      </c>
      <c r="K23" s="191">
        <v>0</v>
      </c>
      <c r="L23" s="191">
        <v>391</v>
      </c>
      <c r="M23" s="191">
        <v>61606596</v>
      </c>
      <c r="N23" s="192">
        <v>56.91</v>
      </c>
      <c r="O23" s="192">
        <v>58.15</v>
      </c>
      <c r="P23" s="135">
        <f t="shared" si="0"/>
        <v>41167886.75</v>
      </c>
    </row>
    <row r="24" spans="1:22" x14ac:dyDescent="0.45">
      <c r="A24" s="193" t="s">
        <v>128</v>
      </c>
      <c r="B24" s="193" t="s">
        <v>109</v>
      </c>
      <c r="C24" s="193" t="s">
        <v>110</v>
      </c>
      <c r="D24" s="194">
        <v>892</v>
      </c>
      <c r="E24" s="194">
        <v>149379338</v>
      </c>
      <c r="F24" s="194">
        <v>0</v>
      </c>
      <c r="G24" s="194">
        <v>0</v>
      </c>
      <c r="H24" s="194">
        <v>892</v>
      </c>
      <c r="I24" s="194">
        <v>149379338</v>
      </c>
      <c r="J24" s="194">
        <v>0</v>
      </c>
      <c r="K24" s="194">
        <v>0</v>
      </c>
      <c r="L24" s="194">
        <v>505</v>
      </c>
      <c r="M24" s="194">
        <v>83708145</v>
      </c>
      <c r="N24" s="195">
        <v>56.61</v>
      </c>
      <c r="O24" s="195">
        <v>56.04</v>
      </c>
      <c r="P24" s="135">
        <f t="shared" si="0"/>
        <v>61189812.859999985</v>
      </c>
    </row>
    <row r="25" spans="1:22" x14ac:dyDescent="0.45">
      <c r="A25" s="190" t="s">
        <v>288</v>
      </c>
      <c r="B25" s="190" t="s">
        <v>80</v>
      </c>
      <c r="C25" s="190" t="s">
        <v>81</v>
      </c>
      <c r="D25" s="191">
        <v>546</v>
      </c>
      <c r="E25" s="191">
        <v>89879995</v>
      </c>
      <c r="F25" s="191">
        <v>0</v>
      </c>
      <c r="G25" s="191">
        <v>0</v>
      </c>
      <c r="H25" s="191">
        <v>546</v>
      </c>
      <c r="I25" s="191">
        <v>89879995</v>
      </c>
      <c r="J25" s="191">
        <v>0</v>
      </c>
      <c r="K25" s="191">
        <v>0</v>
      </c>
      <c r="L25" s="191">
        <v>286</v>
      </c>
      <c r="M25" s="191">
        <v>48859586</v>
      </c>
      <c r="N25" s="192">
        <v>52.38</v>
      </c>
      <c r="O25" s="192">
        <v>54.36</v>
      </c>
      <c r="P25" s="135">
        <f t="shared" si="0"/>
        <v>38324009.149999991</v>
      </c>
    </row>
    <row r="26" spans="1:22" x14ac:dyDescent="0.45">
      <c r="A26" s="193" t="s">
        <v>129</v>
      </c>
      <c r="B26" s="193" t="s">
        <v>83</v>
      </c>
      <c r="C26" s="193" t="s">
        <v>84</v>
      </c>
      <c r="D26" s="194">
        <v>588</v>
      </c>
      <c r="E26" s="194">
        <v>95369711</v>
      </c>
      <c r="F26" s="194">
        <v>0</v>
      </c>
      <c r="G26" s="194">
        <v>0</v>
      </c>
      <c r="H26" s="194">
        <v>588</v>
      </c>
      <c r="I26" s="194">
        <v>95369711</v>
      </c>
      <c r="J26" s="194">
        <v>0</v>
      </c>
      <c r="K26" s="194">
        <v>0</v>
      </c>
      <c r="L26" s="194">
        <v>292</v>
      </c>
      <c r="M26" s="194">
        <v>48990792</v>
      </c>
      <c r="N26" s="195">
        <v>49.66</v>
      </c>
      <c r="O26" s="195">
        <v>51.37</v>
      </c>
      <c r="P26" s="135">
        <f t="shared" si="0"/>
        <v>43517827.670000002</v>
      </c>
    </row>
    <row r="27" spans="1:22" x14ac:dyDescent="0.45">
      <c r="A27" s="190" t="s">
        <v>288</v>
      </c>
      <c r="B27" s="190" t="s">
        <v>77</v>
      </c>
      <c r="C27" s="190" t="s">
        <v>78</v>
      </c>
      <c r="D27" s="191">
        <v>683</v>
      </c>
      <c r="E27" s="191">
        <v>105983346</v>
      </c>
      <c r="F27" s="191">
        <v>0</v>
      </c>
      <c r="G27" s="191">
        <v>0</v>
      </c>
      <c r="H27" s="191">
        <v>683</v>
      </c>
      <c r="I27" s="191">
        <v>105983346</v>
      </c>
      <c r="J27" s="191">
        <v>0</v>
      </c>
      <c r="K27" s="191">
        <v>0</v>
      </c>
      <c r="L27" s="191">
        <v>211</v>
      </c>
      <c r="M27" s="191">
        <v>32622142</v>
      </c>
      <c r="N27" s="192">
        <v>30.89</v>
      </c>
      <c r="O27" s="192">
        <v>30.78</v>
      </c>
      <c r="P27" s="135">
        <f t="shared" si="0"/>
        <v>70181703.61999999</v>
      </c>
    </row>
  </sheetData>
  <mergeCells count="19">
    <mergeCell ref="L5:M5"/>
    <mergeCell ref="N5:O5"/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2026-02-22T22:36:16Z</dcterms:modified>
</cp:coreProperties>
</file>