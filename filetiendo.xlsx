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6A046EBC-6D3F-4051-909A-A6209A3F9D01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<sst xmlns="http://schemas.openxmlformats.org/spreadsheetml/2006/main" count="1049" uniqueCount="294">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</sst>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10" t="s">
        <v>34</v>
      </c>
      <c r="B2" s="86"/>
      <c r="C2" s="15"/>
      <c r="D2" s="216" t="s">
        <v>35</v>
      </c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4" t="s">
        <v>36</v>
      </c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3" t="s">
        <v>37</v>
      </c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2" t="s">
        <v>38</v>
      </c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2"/>
    </row>
    <row r="3" spans="1:675" s="3" customFormat="1" ht="28.25" customHeight="1" x14ac:dyDescent="0.3">
      <c r="A3" s="210"/>
      <c r="B3" s="217" t="s">
        <v>39</v>
      </c>
      <c r="C3" s="87"/>
      <c r="D3" s="204" t="s">
        <v>3</v>
      </c>
      <c r="E3" s="205"/>
      <c r="F3" s="205"/>
      <c r="G3" s="205"/>
      <c r="H3" s="204" t="s">
        <v>40</v>
      </c>
      <c r="I3" s="205"/>
      <c r="J3" s="205"/>
      <c r="K3" s="205"/>
      <c r="L3" s="204" t="s">
        <v>41</v>
      </c>
      <c r="M3" s="205"/>
      <c r="N3" s="205"/>
      <c r="O3" s="205"/>
      <c r="P3" s="207" t="s">
        <v>42</v>
      </c>
      <c r="Q3" s="208"/>
      <c r="R3" s="208"/>
      <c r="S3" s="209"/>
      <c r="T3" s="204" t="s">
        <v>43</v>
      </c>
      <c r="U3" s="205"/>
      <c r="V3" s="205"/>
      <c r="W3" s="205"/>
      <c r="X3" s="204" t="s">
        <v>45</v>
      </c>
      <c r="Y3" s="205"/>
      <c r="Z3" s="205"/>
      <c r="AA3" s="205"/>
      <c r="AB3" s="204" t="s">
        <v>47</v>
      </c>
      <c r="AC3" s="205"/>
      <c r="AD3" s="205"/>
      <c r="AE3" s="205"/>
      <c r="AF3" s="204" t="s">
        <v>48</v>
      </c>
      <c r="AG3" s="205"/>
      <c r="AH3" s="205"/>
      <c r="AI3" s="205"/>
      <c r="AJ3" s="201" t="s">
        <v>51</v>
      </c>
      <c r="AK3" s="202"/>
      <c r="AL3" s="202"/>
      <c r="AM3" s="203"/>
      <c r="AN3" s="201" t="s">
        <v>14</v>
      </c>
      <c r="AO3" s="202"/>
      <c r="AP3" s="202"/>
      <c r="AQ3" s="203"/>
      <c r="AR3" s="201" t="s">
        <v>52</v>
      </c>
      <c r="AS3" s="202"/>
      <c r="AT3" s="202"/>
      <c r="AU3" s="203"/>
      <c r="AV3" s="205" t="s">
        <v>16</v>
      </c>
      <c r="AW3" s="205"/>
      <c r="AX3" s="205"/>
      <c r="AY3" s="205"/>
      <c r="AZ3" s="205" t="s">
        <v>54</v>
      </c>
      <c r="BA3" s="205"/>
      <c r="BB3" s="205"/>
      <c r="BC3" s="205"/>
      <c r="BD3" s="204" t="s">
        <v>55</v>
      </c>
      <c r="BE3" s="205"/>
      <c r="BF3" s="215"/>
      <c r="BG3" s="205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11"/>
      <c r="B4" s="217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0.77680000000000005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0.19319999999999993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0.65590000000000004</v>
      </c>
      <c r="AT6" s="14">
        <f t="shared" si="20"/>
        <v>0</v>
      </c>
      <c r="AU6" s="54">
        <f t="shared" si="21"/>
        <v>0.31409999999999993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0.73170000000000002</v>
      </c>
      <c r="AT7" s="14">
        <f t="shared" si="20"/>
        <v>0</v>
      </c>
      <c r="AU7" s="54">
        <f t="shared" si="21"/>
        <v>0.23829999999999996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0.30780000000000002</v>
      </c>
      <c r="AT8" s="14">
        <f t="shared" si="20"/>
        <v>0</v>
      </c>
      <c r="AU8" s="54">
        <f t="shared" si="21"/>
        <v>0.6621999999999999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0.54569999999999996</v>
      </c>
      <c r="AT9" s="14">
        <f t="shared" si="20"/>
        <v>0</v>
      </c>
      <c r="AU9" s="54">
        <f t="shared" si="21"/>
        <v>0.42430000000000001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0.51470000000000005</v>
      </c>
      <c r="AT10" s="14">
        <f t="shared" si="20"/>
        <v>0</v>
      </c>
      <c r="AU10" s="54">
        <f t="shared" si="21"/>
        <v>0.45529999999999993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0.623</v>
      </c>
      <c r="AT11" s="14">
        <f t="shared" si="20"/>
        <v>0</v>
      </c>
      <c r="AU11" s="54">
        <f t="shared" si="21"/>
        <v>0.34699999999999998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0.58150000000000002</v>
      </c>
      <c r="AT12" s="14">
        <f t="shared" si="20"/>
        <v>0</v>
      </c>
      <c r="AU12" s="54">
        <f t="shared" si="21"/>
        <v>0.38849999999999996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0.74010000000000009</v>
      </c>
      <c r="AT13" s="14">
        <f t="shared" si="20"/>
        <v>0</v>
      </c>
      <c r="AU13" s="54">
        <f t="shared" si="21"/>
        <v>0.22989999999999988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0.56110000000000004</v>
      </c>
      <c r="AT14" s="14">
        <f t="shared" si="20"/>
        <v>0</v>
      </c>
      <c r="AU14" s="54">
        <f t="shared" si="21"/>
        <v>0.40889999999999993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0.62829999999999997</v>
      </c>
      <c r="AT15" s="14">
        <f t="shared" si="20"/>
        <v>0</v>
      </c>
      <c r="AU15" s="54">
        <f t="shared" si="21"/>
        <v>0.3417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0.69769999999999999</v>
      </c>
      <c r="AT16" s="14">
        <f t="shared" si="20"/>
        <v>0</v>
      </c>
      <c r="AU16" s="54">
        <f t="shared" si="21"/>
        <v>0.27229999999999999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0.7409</v>
      </c>
      <c r="AT17" s="14">
        <f t="shared" si="20"/>
        <v>0</v>
      </c>
      <c r="AU17" s="54">
        <f t="shared" si="21"/>
        <v>0.22909999999999997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0.72129999999999994</v>
      </c>
      <c r="AT18" s="14">
        <f t="shared" si="20"/>
        <v>0</v>
      </c>
      <c r="AU18" s="54">
        <f t="shared" si="21"/>
        <v>0.24870000000000003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00">
        <f ca="1">TODAY()</f>
        <v>46076</v>
      </c>
      <c r="G19" s="200"/>
      <c r="H19" s="90"/>
      <c r="I19" s="91">
        <f ca="1">DAY(F19)</f>
        <v>23</v>
      </c>
      <c r="J19" s="92">
        <v>31</v>
      </c>
      <c r="K19" s="95">
        <f ca="1">I19/J19</f>
        <v>0.74193548387096775</v>
      </c>
      <c r="L19" s="206" t="s">
        <v>124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0.77680000000000005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0.19319999999999993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6" t="s">
        <v>35</v>
      </c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4" t="s">
        <v>36</v>
      </c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4" t="s">
        <v>3</v>
      </c>
      <c r="E2" s="205"/>
      <c r="F2" s="205"/>
      <c r="G2" s="205"/>
      <c r="H2" s="204" t="s">
        <v>40</v>
      </c>
      <c r="I2" s="205"/>
      <c r="J2" s="205"/>
      <c r="K2" s="205"/>
      <c r="L2" s="204" t="s">
        <v>41</v>
      </c>
      <c r="M2" s="205"/>
      <c r="N2" s="205"/>
      <c r="O2" s="205"/>
      <c r="P2" s="207" t="s">
        <v>42</v>
      </c>
      <c r="Q2" s="208"/>
      <c r="R2" s="208"/>
      <c r="S2" s="209"/>
      <c r="T2" s="204" t="s">
        <v>43</v>
      </c>
      <c r="U2" s="205"/>
      <c r="V2" s="205"/>
      <c r="W2" s="205"/>
      <c r="X2" s="204" t="s">
        <v>45</v>
      </c>
      <c r="Y2" s="205"/>
      <c r="Z2" s="205"/>
      <c r="AA2" s="205"/>
      <c r="AB2" s="204" t="s">
        <v>47</v>
      </c>
      <c r="AC2" s="205"/>
      <c r="AD2" s="205"/>
      <c r="AE2" s="205"/>
      <c r="AF2" s="204" t="s">
        <v>48</v>
      </c>
      <c r="AG2" s="205"/>
      <c r="AH2" s="205"/>
      <c r="AI2" s="205"/>
      <c r="AJ2" s="201" t="s">
        <v>51</v>
      </c>
      <c r="AK2" s="202"/>
      <c r="AL2" s="202"/>
      <c r="AM2" s="203"/>
      <c r="AN2" s="201" t="s">
        <v>14</v>
      </c>
      <c r="AO2" s="202"/>
      <c r="AP2" s="202"/>
      <c r="AQ2" s="203"/>
      <c r="AR2" s="201" t="s">
        <v>52</v>
      </c>
      <c r="AS2" s="202"/>
      <c r="AT2" s="202"/>
      <c r="AU2" s="203"/>
      <c r="AV2" s="205" t="s">
        <v>16</v>
      </c>
      <c r="AW2" s="205"/>
      <c r="AX2" s="205"/>
      <c r="AY2" s="205"/>
      <c r="AZ2" s="205" t="s">
        <v>54</v>
      </c>
      <c r="BA2" s="205"/>
      <c r="BB2" s="205"/>
      <c r="BC2" s="205"/>
      <c r="BD2" s="204" t="s">
        <v>55</v>
      </c>
      <c r="BE2" s="205"/>
      <c r="BF2" s="215"/>
      <c r="BG2" s="205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0.77680000000000005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0.19319999999999993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0.623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0.34699999999999998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0.58150000000000002</v>
      </c>
      <c r="AT6" s="14">
        <f t="shared" si="48"/>
        <v>0</v>
      </c>
      <c r="AU6" s="54">
        <f t="shared" si="49"/>
        <v>0.38849999999999996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0.56110000000000004</v>
      </c>
      <c r="AT7" s="14">
        <f t="shared" si="48"/>
        <v>0</v>
      </c>
      <c r="AU7" s="54">
        <f t="shared" si="49"/>
        <v>0.40889999999999993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0.69769999999999999</v>
      </c>
      <c r="AT8" s="14">
        <f t="shared" si="48"/>
        <v>0</v>
      </c>
      <c r="AU8" s="54">
        <f t="shared" si="49"/>
        <v>0.27229999999999999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0.65590000000000004</v>
      </c>
      <c r="AT10" s="14">
        <f t="shared" si="48"/>
        <v>0</v>
      </c>
      <c r="AU10" s="54">
        <f t="shared" si="49"/>
        <v>0.31409999999999993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0.73170000000000002</v>
      </c>
      <c r="AT11" s="14">
        <f t="shared" si="48"/>
        <v>0</v>
      </c>
      <c r="AU11" s="54">
        <f t="shared" si="49"/>
        <v>0.23829999999999996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0.30780000000000002</v>
      </c>
      <c r="AT12" s="14">
        <f t="shared" si="48"/>
        <v>0</v>
      </c>
      <c r="AU12" s="54">
        <f t="shared" si="49"/>
        <v>0.6621999999999999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0.51470000000000005</v>
      </c>
      <c r="AT13" s="14">
        <f t="shared" si="48"/>
        <v>0</v>
      </c>
      <c r="AU13" s="54">
        <f t="shared" si="49"/>
        <v>0.45529999999999993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0.74010000000000009</v>
      </c>
      <c r="AT14" s="14">
        <f t="shared" si="48"/>
        <v>0</v>
      </c>
      <c r="AU14" s="54">
        <f t="shared" si="49"/>
        <v>0.22989999999999988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0.62829999999999997</v>
      </c>
      <c r="AT15" s="14">
        <f t="shared" si="48"/>
        <v>0</v>
      </c>
      <c r="AU15" s="54">
        <f t="shared" si="49"/>
        <v>0.3417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0.7409</v>
      </c>
      <c r="AT16" s="14">
        <f t="shared" si="48"/>
        <v>0</v>
      </c>
      <c r="AU16" s="54">
        <f t="shared" si="49"/>
        <v>0.22909999999999997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417352699</v>
      </c>
      <c r="D19" s="142">
        <f ca="1">B19*0.968-C19</f>
        <v>205821372.25599992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663687252</v>
      </c>
      <c r="D20" s="142">
        <f ca="1">B20*0.968-C20</f>
        <v>280296674.77600002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F11" sqref="F11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218.18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190.91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168.18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28</v>
      </c>
      <c r="AW7" s="197">
        <v>35</v>
      </c>
      <c r="AX7" s="197">
        <v>0</v>
      </c>
      <c r="AY7" s="197">
        <v>37</v>
      </c>
      <c r="AZ7" s="197">
        <v>134.55000000000001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101.82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6</v>
      </c>
      <c r="CC7" s="197">
        <v>8</v>
      </c>
      <c r="CD7" s="197">
        <v>0</v>
      </c>
      <c r="CE7" s="197">
        <v>5</v>
      </c>
      <c r="CF7" s="197">
        <v>79.55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286.36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159.09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763.64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1</v>
      </c>
      <c r="K8" s="197">
        <v>13</v>
      </c>
      <c r="L8" s="197">
        <v>236.36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127.27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149.09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24</v>
      </c>
      <c r="AW8" s="197">
        <v>30</v>
      </c>
      <c r="AX8" s="197">
        <v>0</v>
      </c>
      <c r="AY8" s="197">
        <v>71</v>
      </c>
      <c r="AZ8" s="197">
        <v>301.20999999999998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127.27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6</v>
      </c>
      <c r="CC8" s="197">
        <v>8</v>
      </c>
      <c r="CD8" s="197">
        <v>0</v>
      </c>
      <c r="CE8" s="197">
        <v>10</v>
      </c>
      <c r="CF8" s="197">
        <v>159.09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222.73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127.27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763.64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218.18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127.27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42.42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24</v>
      </c>
      <c r="AW9" s="197">
        <v>30</v>
      </c>
      <c r="AX9" s="197">
        <v>0</v>
      </c>
      <c r="AY9" s="197">
        <v>27</v>
      </c>
      <c r="AZ9" s="197">
        <v>114.55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127.27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6</v>
      </c>
      <c r="CC9" s="197">
        <v>8</v>
      </c>
      <c r="CD9" s="197">
        <v>0</v>
      </c>
      <c r="CE9" s="197">
        <v>6</v>
      </c>
      <c r="CF9" s="197">
        <v>95.45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95.45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212.12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254.55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90.91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169.7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157.58000000000001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24</v>
      </c>
      <c r="AW10" s="197">
        <v>30</v>
      </c>
      <c r="AX10" s="197">
        <v>0</v>
      </c>
      <c r="AY10" s="197">
        <v>9</v>
      </c>
      <c r="AZ10" s="197">
        <v>38.18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63.64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6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95.45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145.44999999999999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127.27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136.36000000000001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31</v>
      </c>
      <c r="AW11" s="197">
        <v>40</v>
      </c>
      <c r="AX11" s="197">
        <v>0</v>
      </c>
      <c r="AY11" s="197">
        <v>84</v>
      </c>
      <c r="AZ11" s="197">
        <v>267.27</v>
      </c>
      <c r="BA11" s="197">
        <v>210</v>
      </c>
      <c r="BB11" s="197">
        <v>1</v>
      </c>
      <c r="BC11" s="197">
        <v>8300</v>
      </c>
      <c r="BD11" s="197">
        <v>4</v>
      </c>
      <c r="BE11" s="197">
        <v>5</v>
      </c>
      <c r="BF11" s="197">
        <v>1</v>
      </c>
      <c r="BG11" s="197">
        <v>4</v>
      </c>
      <c r="BH11" s="197">
        <v>101.82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127.27</v>
      </c>
      <c r="BY11" s="197">
        <v>100</v>
      </c>
      <c r="BZ11" s="197">
        <v>0</v>
      </c>
      <c r="CA11" s="197">
        <v>100</v>
      </c>
      <c r="CB11" s="197">
        <v>6</v>
      </c>
      <c r="CC11" s="197">
        <v>8</v>
      </c>
      <c r="CD11" s="197">
        <v>0</v>
      </c>
      <c r="CE11" s="197">
        <v>7</v>
      </c>
      <c r="CF11" s="197">
        <v>111.36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95.45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95.45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1018.18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90.91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84.85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24</v>
      </c>
      <c r="AW12" s="197">
        <v>30</v>
      </c>
      <c r="AX12" s="197">
        <v>0</v>
      </c>
      <c r="AY12" s="197">
        <v>26</v>
      </c>
      <c r="AZ12" s="197">
        <v>110.3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31.82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6</v>
      </c>
      <c r="CC12" s="197">
        <v>8</v>
      </c>
      <c r="CD12" s="197">
        <v>0</v>
      </c>
      <c r="CE12" s="197">
        <v>3</v>
      </c>
      <c r="CF12" s="197">
        <v>47.73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63.64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127.27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381.82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6</v>
      </c>
      <c r="I13" s="197">
        <v>8</v>
      </c>
      <c r="J13" s="197">
        <v>0</v>
      </c>
      <c r="K13" s="197">
        <v>8</v>
      </c>
      <c r="L13" s="197">
        <v>127.27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95.45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149.09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39</v>
      </c>
      <c r="AW13" s="197">
        <v>50</v>
      </c>
      <c r="AX13" s="197">
        <v>0</v>
      </c>
      <c r="AY13" s="197">
        <v>69</v>
      </c>
      <c r="AZ13" s="197">
        <v>175.64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101.82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155.56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25.45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95.45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145.44999999999999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159.09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63.64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168.18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47</v>
      </c>
      <c r="AW14" s="197">
        <v>60</v>
      </c>
      <c r="AX14" s="197">
        <v>0</v>
      </c>
      <c r="AY14" s="197">
        <v>199</v>
      </c>
      <c r="AZ14" s="197">
        <v>422.12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76.36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763.64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127.27</v>
      </c>
      <c r="BY14" s="197">
        <v>100</v>
      </c>
      <c r="BZ14" s="197">
        <v>0</v>
      </c>
      <c r="CA14" s="197">
        <v>100</v>
      </c>
      <c r="CB14" s="197">
        <v>6</v>
      </c>
      <c r="CC14" s="197">
        <v>8</v>
      </c>
      <c r="CD14" s="197">
        <v>0</v>
      </c>
      <c r="CE14" s="197">
        <v>17</v>
      </c>
      <c r="CF14" s="197">
        <v>270.45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222.73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286.36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1909.09</v>
      </c>
      <c r="DE14" s="197">
        <v>1500</v>
      </c>
      <c r="DF14" s="197">
        <v>1</v>
      </c>
      <c r="DG14" s="197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6</v>
      </c>
      <c r="I15" s="197">
        <v>8</v>
      </c>
      <c r="J15" s="197">
        <v>0</v>
      </c>
      <c r="K15" s="197">
        <v>9</v>
      </c>
      <c r="L15" s="197">
        <v>143.18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63.64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24</v>
      </c>
      <c r="AW15" s="197">
        <v>30</v>
      </c>
      <c r="AX15" s="197">
        <v>0</v>
      </c>
      <c r="AY15" s="197">
        <v>60</v>
      </c>
      <c r="AZ15" s="197">
        <v>254.55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76.36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127.27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155.56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152.72999999999999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84.85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127.27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0</v>
      </c>
      <c r="K16" s="197">
        <v>5</v>
      </c>
      <c r="L16" s="197">
        <v>90.91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63.64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40.909999999999997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28</v>
      </c>
      <c r="AW16" s="197">
        <v>35</v>
      </c>
      <c r="AX16" s="197">
        <v>0</v>
      </c>
      <c r="AY16" s="197">
        <v>92</v>
      </c>
      <c r="AZ16" s="197">
        <v>334.55</v>
      </c>
      <c r="BA16" s="197">
        <v>262.86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50.91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254.55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127.27</v>
      </c>
      <c r="BY16" s="197">
        <v>100</v>
      </c>
      <c r="BZ16" s="197">
        <v>0</v>
      </c>
      <c r="CA16" s="197">
        <v>100</v>
      </c>
      <c r="CB16" s="197">
        <v>6</v>
      </c>
      <c r="CC16" s="197">
        <v>8</v>
      </c>
      <c r="CD16" s="197">
        <v>0</v>
      </c>
      <c r="CE16" s="197">
        <v>6</v>
      </c>
      <c r="CF16" s="197">
        <v>95.45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127.27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222.73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1145.45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90.91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190.91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42.42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168.18</v>
      </c>
      <c r="AK17" s="197">
        <v>175</v>
      </c>
      <c r="AL17" s="197">
        <v>1</v>
      </c>
      <c r="AM17" s="197">
        <v>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28</v>
      </c>
      <c r="AW17" s="197">
        <v>35</v>
      </c>
      <c r="AX17" s="197">
        <v>0</v>
      </c>
      <c r="AY17" s="197">
        <v>57</v>
      </c>
      <c r="AZ17" s="197">
        <v>207.27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152.72999999999999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6</v>
      </c>
      <c r="CC17" s="197">
        <v>8</v>
      </c>
      <c r="CD17" s="197">
        <v>0</v>
      </c>
      <c r="CE17" s="197">
        <v>11</v>
      </c>
      <c r="CF17" s="197">
        <v>175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190.91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159.09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1272.73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109.09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286.36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42.42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123.64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24</v>
      </c>
      <c r="AW18" s="197">
        <v>30</v>
      </c>
      <c r="AX18" s="197">
        <v>0</v>
      </c>
      <c r="AY18" s="197">
        <v>66</v>
      </c>
      <c r="AZ18" s="197">
        <v>280</v>
      </c>
      <c r="BA18" s="197">
        <v>220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76.36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6</v>
      </c>
      <c r="CC18" s="197">
        <v>8</v>
      </c>
      <c r="CD18" s="197">
        <v>0</v>
      </c>
      <c r="CE18" s="197">
        <v>8</v>
      </c>
      <c r="CF18" s="197">
        <v>127.27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190.91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159.09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1145.45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6</v>
      </c>
      <c r="I19" s="197">
        <v>8</v>
      </c>
      <c r="J19" s="197">
        <v>0</v>
      </c>
      <c r="K19" s="197">
        <v>8</v>
      </c>
      <c r="L19" s="197">
        <v>127.27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63.64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149.09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24</v>
      </c>
      <c r="AW19" s="197">
        <v>30</v>
      </c>
      <c r="AX19" s="197">
        <v>0</v>
      </c>
      <c r="AY19" s="197">
        <v>13</v>
      </c>
      <c r="AZ19" s="197">
        <v>55.15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25.45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76.36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42.42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127.27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0</v>
      </c>
      <c r="K20" s="197">
        <v>6</v>
      </c>
      <c r="L20" s="197">
        <v>109.09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159.09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24</v>
      </c>
      <c r="AW20" s="197">
        <v>30</v>
      </c>
      <c r="AX20" s="197">
        <v>0</v>
      </c>
      <c r="AY20" s="197">
        <v>51</v>
      </c>
      <c r="AZ20" s="197">
        <v>216.36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50.91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6</v>
      </c>
      <c r="CC20" s="197">
        <v>8</v>
      </c>
      <c r="CD20" s="197">
        <v>0</v>
      </c>
      <c r="CE20" s="197">
        <v>5</v>
      </c>
      <c r="CF20" s="197">
        <v>79.55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63.64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127.27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127.27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76.36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127.27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157.58000000000001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95.45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25.45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6</v>
      </c>
      <c r="CC21" s="197">
        <v>8</v>
      </c>
      <c r="CD21" s="197">
        <v>0</v>
      </c>
      <c r="CE21" s="197">
        <v>1</v>
      </c>
      <c r="CF21" s="197">
        <v>15.91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95.45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84.85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254.55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6</v>
      </c>
      <c r="I22" s="197">
        <v>8</v>
      </c>
      <c r="J22" s="197">
        <v>0</v>
      </c>
      <c r="K22" s="197">
        <v>8</v>
      </c>
      <c r="L22" s="197">
        <v>127.27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190.91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24</v>
      </c>
      <c r="AW22" s="197">
        <v>30</v>
      </c>
      <c r="AX22" s="197">
        <v>0</v>
      </c>
      <c r="AY22" s="197">
        <v>61</v>
      </c>
      <c r="AZ22" s="197">
        <v>258.79000000000002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76.36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254.55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155.56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76.36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127.27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254.55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200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159.09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47</v>
      </c>
      <c r="AW23" s="197">
        <v>60</v>
      </c>
      <c r="AX23" s="197">
        <v>0</v>
      </c>
      <c r="AY23" s="197">
        <v>171</v>
      </c>
      <c r="AZ23" s="197">
        <v>362.73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101.82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127.27</v>
      </c>
      <c r="BY23" s="197">
        <v>100</v>
      </c>
      <c r="BZ23" s="197">
        <v>0</v>
      </c>
      <c r="CA23" s="197">
        <v>100</v>
      </c>
      <c r="CB23" s="197">
        <v>6</v>
      </c>
      <c r="CC23" s="197">
        <v>8</v>
      </c>
      <c r="CD23" s="197">
        <v>0</v>
      </c>
      <c r="CE23" s="197">
        <v>21</v>
      </c>
      <c r="CF23" s="197">
        <v>334.09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159.09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1</v>
      </c>
      <c r="CU23" s="197">
        <v>8</v>
      </c>
      <c r="CV23" s="197">
        <v>254.55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2672.73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169.7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11</v>
      </c>
      <c r="AW24" s="197">
        <v>14</v>
      </c>
      <c r="AX24" s="197">
        <v>0</v>
      </c>
      <c r="AY24" s="197">
        <v>3</v>
      </c>
      <c r="AZ24" s="197">
        <v>27.27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127.27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84.85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129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1069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94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202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95.45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254.55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136.36000000000001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181.82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42.42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127.27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127.27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84.85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42.42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381.82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6</v>
      </c>
      <c r="I28" s="197">
        <v>8</v>
      </c>
      <c r="J28" s="197">
        <v>0</v>
      </c>
      <c r="K28" s="197">
        <v>7</v>
      </c>
      <c r="L28" s="197">
        <v>111.36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190.91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123.64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31.82</v>
      </c>
      <c r="AS28" s="197">
        <v>25</v>
      </c>
      <c r="AT28" s="197">
        <v>0</v>
      </c>
      <c r="AU28" s="197">
        <v>100</v>
      </c>
      <c r="AV28" s="197">
        <v>24</v>
      </c>
      <c r="AW28" s="197">
        <v>30</v>
      </c>
      <c r="AX28" s="197">
        <v>0</v>
      </c>
      <c r="AY28" s="197">
        <v>33</v>
      </c>
      <c r="AZ28" s="197">
        <v>140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127.27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127.27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169.7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152.72999999999999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127.27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127.27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84.85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127.27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11</v>
      </c>
      <c r="AW29" s="197">
        <v>14</v>
      </c>
      <c r="AX29" s="197">
        <v>0</v>
      </c>
      <c r="AY29" s="197">
        <v>13</v>
      </c>
      <c r="AZ29" s="197">
        <v>118.18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76.36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42.42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169.7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127.27</v>
      </c>
      <c r="DE29" s="197">
        <v>100</v>
      </c>
      <c r="DF29" s="197">
        <v>0</v>
      </c>
      <c r="DG29" s="197">
        <v>100</v>
      </c>
    </row>
  </sheetData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5" t="s">
        <v>5</v>
      </c>
      <c r="C3" s="101" t="s">
        <v>200</v>
      </c>
      <c r="D3" s="101" t="s">
        <v>201</v>
      </c>
      <c r="E3" s="247" t="s">
        <v>202</v>
      </c>
      <c r="F3" s="243" t="s">
        <v>6</v>
      </c>
      <c r="G3" s="243" t="s">
        <v>7</v>
      </c>
      <c r="H3" s="243" t="s">
        <v>8</v>
      </c>
      <c r="I3" s="243" t="s">
        <v>9</v>
      </c>
      <c r="J3" s="243" t="s">
        <v>10</v>
      </c>
      <c r="K3" s="243" t="s">
        <v>11</v>
      </c>
      <c r="L3" s="243" t="s">
        <v>12</v>
      </c>
      <c r="M3" s="243" t="s">
        <v>203</v>
      </c>
      <c r="N3" s="243" t="s">
        <v>286</v>
      </c>
      <c r="O3" s="243" t="s">
        <v>14</v>
      </c>
      <c r="P3" s="243" t="s">
        <v>15</v>
      </c>
      <c r="Q3" s="243" t="s">
        <v>16</v>
      </c>
      <c r="R3" s="243" t="s">
        <v>17</v>
      </c>
      <c r="S3" s="243" t="s">
        <v>18</v>
      </c>
      <c r="T3" s="99"/>
    </row>
    <row r="4" spans="1:20" ht="21" customHeight="1" x14ac:dyDescent="0.45">
      <c r="A4" s="100"/>
      <c r="B4" s="246"/>
      <c r="C4" s="101"/>
      <c r="D4" s="101"/>
      <c r="E4" s="248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6" t="s">
        <v>240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M1" s="259" t="s">
        <v>241</v>
      </c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</row>
    <row r="2" spans="1:48" ht="24.5" customHeight="1" x14ac:dyDescent="0.45">
      <c r="A2" s="257"/>
      <c r="B2" s="257"/>
      <c r="C2" s="257"/>
      <c r="D2" s="257"/>
      <c r="E2" s="257"/>
      <c r="F2" s="257"/>
      <c r="G2" s="257"/>
      <c r="H2" s="257"/>
      <c r="I2" s="257"/>
      <c r="J2" s="257"/>
      <c r="K2" s="257"/>
      <c r="M2" s="260"/>
      <c r="N2" s="260"/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</row>
    <row r="3" spans="1:48" ht="26.25" customHeight="1" x14ac:dyDescent="0.45">
      <c r="A3" s="253" t="s">
        <v>0</v>
      </c>
      <c r="B3" s="254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8" t="s">
        <v>34</v>
      </c>
      <c r="N3" s="204" t="s">
        <v>250</v>
      </c>
      <c r="O3" s="205"/>
      <c r="P3" s="205"/>
      <c r="Q3" s="205"/>
      <c r="R3" s="261" t="s">
        <v>251</v>
      </c>
      <c r="S3" s="204" t="s">
        <v>252</v>
      </c>
      <c r="T3" s="205"/>
      <c r="U3" s="205"/>
      <c r="V3" s="205"/>
      <c r="W3" s="261" t="s">
        <v>251</v>
      </c>
      <c r="X3" s="207" t="s">
        <v>41</v>
      </c>
      <c r="Y3" s="208"/>
      <c r="Z3" s="208"/>
      <c r="AA3" s="261" t="s">
        <v>251</v>
      </c>
      <c r="AB3" s="71"/>
      <c r="AC3" s="204" t="s">
        <v>42</v>
      </c>
      <c r="AD3" s="205"/>
      <c r="AE3" s="205"/>
      <c r="AF3" s="205"/>
      <c r="AG3" s="204" t="s">
        <v>43</v>
      </c>
      <c r="AH3" s="205"/>
      <c r="AI3" s="205"/>
      <c r="AJ3" s="205"/>
      <c r="AK3" s="204" t="s">
        <v>44</v>
      </c>
      <c r="AL3" s="205"/>
      <c r="AM3" s="205"/>
      <c r="AN3" s="205"/>
      <c r="AO3" s="204" t="s">
        <v>46</v>
      </c>
      <c r="AP3" s="205"/>
      <c r="AQ3" s="205"/>
      <c r="AR3" s="205"/>
      <c r="AS3" s="204" t="s">
        <v>47</v>
      </c>
      <c r="AT3" s="205"/>
      <c r="AU3" s="205"/>
      <c r="AV3" s="205"/>
    </row>
    <row r="4" spans="1:48" ht="22.25" customHeight="1" x14ac:dyDescent="0.45">
      <c r="A4" s="253"/>
      <c r="B4" s="255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8"/>
      <c r="N4" s="8" t="s">
        <v>2</v>
      </c>
      <c r="O4" s="9" t="s">
        <v>58</v>
      </c>
      <c r="P4" s="9" t="s">
        <v>4</v>
      </c>
      <c r="Q4" s="51" t="s">
        <v>59</v>
      </c>
      <c r="R4" s="262"/>
      <c r="S4" s="8" t="s">
        <v>2</v>
      </c>
      <c r="T4" s="9" t="s">
        <v>58</v>
      </c>
      <c r="U4" s="31" t="s">
        <v>4</v>
      </c>
      <c r="V4" s="51" t="s">
        <v>59</v>
      </c>
      <c r="W4" s="262"/>
      <c r="X4" s="8" t="s">
        <v>2</v>
      </c>
      <c r="Y4" s="9" t="s">
        <v>58</v>
      </c>
      <c r="Z4" s="9" t="s">
        <v>4</v>
      </c>
      <c r="AA4" s="262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S26" sqref="S26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3"/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</row>
    <row r="2" spans="1:23" hidden="1" x14ac:dyDescent="0.45">
      <c r="A2" s="264"/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</row>
    <row r="3" spans="1:23" hidden="1" x14ac:dyDescent="0.45">
      <c r="A3" s="265"/>
      <c r="B3" s="265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7" t="s">
        <v>255</v>
      </c>
      <c r="B4" s="267" t="s">
        <v>39</v>
      </c>
      <c r="C4" s="141"/>
      <c r="D4" s="141"/>
      <c r="E4" s="141"/>
      <c r="F4" s="141"/>
      <c r="G4" s="141"/>
      <c r="H4" s="266"/>
      <c r="I4" s="266"/>
      <c r="J4" s="266"/>
      <c r="K4" s="266"/>
      <c r="L4" s="266"/>
      <c r="M4" s="266"/>
      <c r="N4" s="266"/>
      <c r="O4" s="266"/>
      <c r="P4" s="266"/>
    </row>
    <row r="5" spans="1:23" x14ac:dyDescent="0.45">
      <c r="A5" s="270"/>
      <c r="B5" s="270"/>
      <c r="C5" s="267" t="s">
        <v>256</v>
      </c>
      <c r="D5" s="267" t="s">
        <v>257</v>
      </c>
      <c r="E5" s="268"/>
      <c r="F5" s="267" t="s">
        <v>258</v>
      </c>
      <c r="G5" s="268"/>
      <c r="H5" s="267" t="s">
        <v>259</v>
      </c>
      <c r="I5" s="268"/>
      <c r="J5" s="267" t="s">
        <v>260</v>
      </c>
      <c r="K5" s="268"/>
      <c r="L5" s="271" t="s">
        <v>261</v>
      </c>
      <c r="M5" s="268"/>
      <c r="N5" s="266" t="s">
        <v>262</v>
      </c>
      <c r="O5" s="272"/>
      <c r="P5" s="267" t="s">
        <v>266</v>
      </c>
      <c r="R5" s="273" t="s">
        <v>34</v>
      </c>
      <c r="S5" s="273" t="s">
        <v>290</v>
      </c>
      <c r="T5" s="273" t="s">
        <v>291</v>
      </c>
      <c r="U5" s="273" t="s">
        <v>293</v>
      </c>
      <c r="V5" s="274" t="s">
        <v>292</v>
      </c>
      <c r="W5" s="172"/>
    </row>
    <row r="6" spans="1:23" x14ac:dyDescent="0.45">
      <c r="A6" s="269"/>
      <c r="B6" s="269"/>
      <c r="C6" s="270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9"/>
      <c r="R6" s="273"/>
      <c r="S6" s="273"/>
      <c r="T6" s="273"/>
      <c r="U6" s="273"/>
      <c r="V6" s="273"/>
      <c r="W6" s="172"/>
    </row>
    <row r="7" spans="1:23" x14ac:dyDescent="0.45">
      <c r="A7" s="190" t="s">
        <v>288</v>
      </c>
      <c r="B7" s="190" t="s">
        <v>68</v>
      </c>
      <c r="C7" s="190" t="s">
        <v>69</v>
      </c>
      <c r="D7" s="191">
        <v>434</v>
      </c>
      <c r="E7" s="191">
        <v>72573808</v>
      </c>
      <c r="F7" s="191">
        <v>0</v>
      </c>
      <c r="G7" s="191">
        <v>0</v>
      </c>
      <c r="H7" s="191">
        <v>434</v>
      </c>
      <c r="I7" s="191">
        <v>72573808</v>
      </c>
      <c r="J7" s="191">
        <v>2</v>
      </c>
      <c r="K7" s="191">
        <v>509000</v>
      </c>
      <c r="L7" s="191">
        <v>361</v>
      </c>
      <c r="M7" s="191">
        <v>59028396</v>
      </c>
      <c r="N7" s="192">
        <v>83.18</v>
      </c>
      <c r="O7" s="192">
        <v>81.34</v>
      </c>
      <c r="P7" s="135">
        <f>I7*0.97-M7</f>
        <v>11368197.760000005</v>
      </c>
      <c r="R7" s="173" t="s">
        <v>117</v>
      </c>
      <c r="S7" s="176">
        <f>VLOOKUP(R7,$C$7:$P$27,7,0)</f>
        <v>101866340</v>
      </c>
      <c r="T7" s="175">
        <v>27733838.799999997</v>
      </c>
      <c r="U7" s="189">
        <f>VLOOKUP(R7,$C$7:$P$27,14,0)</f>
        <v>27733838.799999997</v>
      </c>
      <c r="V7" s="175">
        <f>VLOOKUP(R7,$C$7:$P$27,14,0)-T7</f>
        <v>0</v>
      </c>
    </row>
    <row r="8" spans="1:23" x14ac:dyDescent="0.45">
      <c r="A8" s="193" t="s">
        <v>288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0</v>
      </c>
      <c r="K8" s="194">
        <v>0</v>
      </c>
      <c r="L8" s="194">
        <v>347</v>
      </c>
      <c r="M8" s="194">
        <v>55273476</v>
      </c>
      <c r="N8" s="195">
        <v>76.430000000000007</v>
      </c>
      <c r="O8" s="195">
        <v>78.69</v>
      </c>
      <c r="P8" s="135">
        <f t="shared" ref="P8:P27" si="0">I8*0.97-M8</f>
        <v>12862639.459999993</v>
      </c>
      <c r="R8" s="173" t="s">
        <v>67</v>
      </c>
      <c r="S8" s="176">
        <f t="shared" ref="S8:S17" si="1">VLOOKUP(R8,$C$7:$P$27,7,0)</f>
        <v>145101823</v>
      </c>
      <c r="T8" s="175">
        <v>28033862.310000002</v>
      </c>
      <c r="U8" s="189">
        <f t="shared" ref="U8:U17" si="2">VLOOKUP(R8,$C$7:$P$27,14,0)</f>
        <v>28033862.310000002</v>
      </c>
      <c r="V8" s="175">
        <f t="shared" ref="V8:V17" si="3">VLOOKUP(R8,$C$7:$P$27,14,0)-T8</f>
        <v>0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1</v>
      </c>
      <c r="K9" s="191">
        <v>160000</v>
      </c>
      <c r="L9" s="191">
        <v>660</v>
      </c>
      <c r="M9" s="191">
        <v>112714906</v>
      </c>
      <c r="N9" s="192">
        <v>75.34</v>
      </c>
      <c r="O9" s="192">
        <v>77.680000000000007</v>
      </c>
      <c r="P9" s="135">
        <f t="shared" si="0"/>
        <v>28033862.310000002</v>
      </c>
      <c r="R9" s="174" t="s">
        <v>87</v>
      </c>
      <c r="S9" s="176">
        <f t="shared" si="1"/>
        <v>141474291</v>
      </c>
      <c r="T9" s="175">
        <v>49090015.270000011</v>
      </c>
      <c r="U9" s="189">
        <f t="shared" si="2"/>
        <v>49090015.270000011</v>
      </c>
      <c r="V9" s="175">
        <f t="shared" si="3"/>
        <v>0</v>
      </c>
    </row>
    <row r="10" spans="1:23" x14ac:dyDescent="0.45">
      <c r="A10" s="193" t="s">
        <v>288</v>
      </c>
      <c r="B10" s="193" t="s">
        <v>122</v>
      </c>
      <c r="C10" s="193" t="s">
        <v>123</v>
      </c>
      <c r="D10" s="194">
        <v>308</v>
      </c>
      <c r="E10" s="194">
        <v>51982396</v>
      </c>
      <c r="F10" s="194">
        <v>0</v>
      </c>
      <c r="G10" s="194">
        <v>0</v>
      </c>
      <c r="H10" s="194">
        <v>308</v>
      </c>
      <c r="I10" s="194">
        <v>51982396</v>
      </c>
      <c r="J10" s="194">
        <v>1</v>
      </c>
      <c r="K10" s="194">
        <v>100000</v>
      </c>
      <c r="L10" s="194">
        <v>231</v>
      </c>
      <c r="M10" s="194">
        <v>39236420</v>
      </c>
      <c r="N10" s="195">
        <v>75</v>
      </c>
      <c r="O10" s="195">
        <v>75.48</v>
      </c>
      <c r="P10" s="135">
        <f t="shared" si="0"/>
        <v>11186504.119999997</v>
      </c>
      <c r="R10" s="174" t="s">
        <v>110</v>
      </c>
      <c r="S10" s="176">
        <f t="shared" si="1"/>
        <v>149379338</v>
      </c>
      <c r="T10" s="175">
        <v>61083318.859999985</v>
      </c>
      <c r="U10" s="189">
        <f t="shared" si="2"/>
        <v>61083318.859999985</v>
      </c>
      <c r="V10" s="175">
        <f t="shared" si="3"/>
        <v>0</v>
      </c>
    </row>
    <row r="11" spans="1:23" x14ac:dyDescent="0.45">
      <c r="A11" s="190" t="s">
        <v>288</v>
      </c>
      <c r="B11" s="190" t="s">
        <v>114</v>
      </c>
      <c r="C11" s="190" t="s">
        <v>115</v>
      </c>
      <c r="D11" s="191">
        <v>559</v>
      </c>
      <c r="E11" s="191">
        <v>93597302</v>
      </c>
      <c r="F11" s="191">
        <v>0</v>
      </c>
      <c r="G11" s="191">
        <v>0</v>
      </c>
      <c r="H11" s="191">
        <v>559</v>
      </c>
      <c r="I11" s="191">
        <v>93597302</v>
      </c>
      <c r="J11" s="191">
        <v>3</v>
      </c>
      <c r="K11" s="191">
        <v>558651</v>
      </c>
      <c r="L11" s="191">
        <v>408</v>
      </c>
      <c r="M11" s="191">
        <v>70116733</v>
      </c>
      <c r="N11" s="192">
        <v>72.989999999999995</v>
      </c>
      <c r="O11" s="192">
        <v>74.91</v>
      </c>
      <c r="P11" s="135">
        <f t="shared" si="0"/>
        <v>20672649.939999998</v>
      </c>
      <c r="R11" s="173" t="s">
        <v>99</v>
      </c>
      <c r="S11" s="176">
        <f t="shared" si="1"/>
        <v>105953075</v>
      </c>
      <c r="T11" s="175">
        <v>41167886.75</v>
      </c>
      <c r="U11" s="189">
        <f t="shared" si="2"/>
        <v>41167886.75</v>
      </c>
      <c r="V11" s="175">
        <f t="shared" si="3"/>
        <v>0</v>
      </c>
    </row>
    <row r="12" spans="1:23" x14ac:dyDescent="0.45">
      <c r="A12" s="193" t="s">
        <v>288</v>
      </c>
      <c r="B12" s="193" t="s">
        <v>104</v>
      </c>
      <c r="C12" s="193" t="s">
        <v>105</v>
      </c>
      <c r="D12" s="194">
        <v>716</v>
      </c>
      <c r="E12" s="194">
        <v>116427734</v>
      </c>
      <c r="F12" s="194">
        <v>0</v>
      </c>
      <c r="G12" s="194">
        <v>0</v>
      </c>
      <c r="H12" s="194">
        <v>716</v>
      </c>
      <c r="I12" s="194">
        <v>116427734</v>
      </c>
      <c r="J12" s="194">
        <v>1</v>
      </c>
      <c r="K12" s="194">
        <v>270000</v>
      </c>
      <c r="L12" s="194">
        <v>516</v>
      </c>
      <c r="M12" s="194">
        <v>87160486</v>
      </c>
      <c r="N12" s="195">
        <v>72.069999999999993</v>
      </c>
      <c r="O12" s="195">
        <v>74.86</v>
      </c>
      <c r="P12" s="135">
        <f t="shared" si="0"/>
        <v>25774415.980000004</v>
      </c>
      <c r="R12" s="173" t="s">
        <v>75</v>
      </c>
      <c r="S12" s="176">
        <f t="shared" si="1"/>
        <v>152862316</v>
      </c>
      <c r="T12" s="175">
        <v>36430325.520000011</v>
      </c>
      <c r="U12" s="189">
        <f t="shared" si="2"/>
        <v>36430325.520000011</v>
      </c>
      <c r="V12" s="175">
        <f t="shared" si="3"/>
        <v>0</v>
      </c>
    </row>
    <row r="13" spans="1:23" x14ac:dyDescent="0.45">
      <c r="A13" s="190" t="s">
        <v>129</v>
      </c>
      <c r="B13" s="190" t="s">
        <v>118</v>
      </c>
      <c r="C13" s="190" t="s">
        <v>119</v>
      </c>
      <c r="D13" s="191">
        <v>1181</v>
      </c>
      <c r="E13" s="191">
        <v>189656153</v>
      </c>
      <c r="F13" s="191">
        <v>0</v>
      </c>
      <c r="G13" s="191">
        <v>0</v>
      </c>
      <c r="H13" s="191">
        <v>1181</v>
      </c>
      <c r="I13" s="191">
        <v>189656153</v>
      </c>
      <c r="J13" s="191">
        <v>4</v>
      </c>
      <c r="K13" s="191">
        <v>757317</v>
      </c>
      <c r="L13" s="191">
        <v>858</v>
      </c>
      <c r="M13" s="191">
        <v>140517492</v>
      </c>
      <c r="N13" s="192">
        <v>72.650000000000006</v>
      </c>
      <c r="O13" s="192">
        <v>74.09</v>
      </c>
      <c r="P13" s="135">
        <f t="shared" si="0"/>
        <v>43448976.409999996</v>
      </c>
      <c r="R13" s="173" t="s">
        <v>107</v>
      </c>
      <c r="S13" s="176">
        <f t="shared" si="1"/>
        <v>180440547</v>
      </c>
      <c r="T13" s="175">
        <v>41487079.590000004</v>
      </c>
      <c r="U13" s="189">
        <f t="shared" si="2"/>
        <v>41487079.590000004</v>
      </c>
      <c r="V13" s="175">
        <f t="shared" si="3"/>
        <v>0</v>
      </c>
    </row>
    <row r="14" spans="1:23" x14ac:dyDescent="0.45">
      <c r="A14" s="193" t="s">
        <v>129</v>
      </c>
      <c r="B14" s="193" t="s">
        <v>106</v>
      </c>
      <c r="C14" s="193" t="s">
        <v>107</v>
      </c>
      <c r="D14" s="194">
        <v>1048</v>
      </c>
      <c r="E14" s="194">
        <v>180440547</v>
      </c>
      <c r="F14" s="194">
        <v>0</v>
      </c>
      <c r="G14" s="194">
        <v>0</v>
      </c>
      <c r="H14" s="194">
        <v>1048</v>
      </c>
      <c r="I14" s="194">
        <v>180440547</v>
      </c>
      <c r="J14" s="194">
        <v>5</v>
      </c>
      <c r="K14" s="194">
        <v>1019395</v>
      </c>
      <c r="L14" s="194">
        <v>752</v>
      </c>
      <c r="M14" s="194">
        <v>133540251</v>
      </c>
      <c r="N14" s="195">
        <v>71.760000000000005</v>
      </c>
      <c r="O14" s="195">
        <v>74.010000000000005</v>
      </c>
      <c r="P14" s="135">
        <f t="shared" si="0"/>
        <v>41487079.590000004</v>
      </c>
      <c r="R14" s="174" t="s">
        <v>72</v>
      </c>
      <c r="S14" s="176">
        <f t="shared" si="1"/>
        <v>162344260</v>
      </c>
      <c r="T14" s="175">
        <v>50987798.199999988</v>
      </c>
      <c r="U14" s="189">
        <f t="shared" si="2"/>
        <v>50987798.199999988</v>
      </c>
      <c r="V14" s="175">
        <f t="shared" si="3"/>
        <v>0</v>
      </c>
    </row>
    <row r="15" spans="1:23" x14ac:dyDescent="0.45">
      <c r="A15" s="190" t="s">
        <v>129</v>
      </c>
      <c r="B15" s="190" t="s">
        <v>74</v>
      </c>
      <c r="C15" s="190" t="s">
        <v>75</v>
      </c>
      <c r="D15" s="191">
        <v>941</v>
      </c>
      <c r="E15" s="191">
        <v>152862316</v>
      </c>
      <c r="F15" s="191">
        <v>0</v>
      </c>
      <c r="G15" s="191">
        <v>0</v>
      </c>
      <c r="H15" s="191">
        <v>941</v>
      </c>
      <c r="I15" s="191">
        <v>152862316</v>
      </c>
      <c r="J15" s="191">
        <v>2</v>
      </c>
      <c r="K15" s="191">
        <v>165123</v>
      </c>
      <c r="L15" s="191">
        <v>649</v>
      </c>
      <c r="M15" s="191">
        <v>111846121</v>
      </c>
      <c r="N15" s="192">
        <v>68.97</v>
      </c>
      <c r="O15" s="192">
        <v>73.17</v>
      </c>
      <c r="P15" s="135">
        <f t="shared" si="0"/>
        <v>36430325.520000011</v>
      </c>
      <c r="R15" s="174" t="s">
        <v>113</v>
      </c>
      <c r="S15" s="176">
        <f t="shared" si="1"/>
        <v>194517020</v>
      </c>
      <c r="T15" s="175">
        <v>66475047.400000006</v>
      </c>
      <c r="U15" s="189">
        <f t="shared" si="2"/>
        <v>66475047.400000006</v>
      </c>
      <c r="V15" s="175">
        <f t="shared" si="3"/>
        <v>0</v>
      </c>
    </row>
    <row r="16" spans="1:23" x14ac:dyDescent="0.45">
      <c r="A16" s="193" t="s">
        <v>288</v>
      </c>
      <c r="B16" s="193" t="s">
        <v>120</v>
      </c>
      <c r="C16" s="193" t="s">
        <v>121</v>
      </c>
      <c r="D16" s="194">
        <v>415</v>
      </c>
      <c r="E16" s="194">
        <v>66800107</v>
      </c>
      <c r="F16" s="194">
        <v>0</v>
      </c>
      <c r="G16" s="194">
        <v>0</v>
      </c>
      <c r="H16" s="194">
        <v>415</v>
      </c>
      <c r="I16" s="194">
        <v>66800107</v>
      </c>
      <c r="J16" s="194">
        <v>2</v>
      </c>
      <c r="K16" s="194">
        <v>451977</v>
      </c>
      <c r="L16" s="194">
        <v>285</v>
      </c>
      <c r="M16" s="194">
        <v>48185464</v>
      </c>
      <c r="N16" s="195">
        <v>68.67</v>
      </c>
      <c r="O16" s="195">
        <v>72.13</v>
      </c>
      <c r="P16" s="135">
        <f t="shared" si="0"/>
        <v>16610639.789999999</v>
      </c>
      <c r="R16" s="174" t="s">
        <v>119</v>
      </c>
      <c r="S16" s="176">
        <f t="shared" si="1"/>
        <v>189656153</v>
      </c>
      <c r="T16" s="175">
        <v>43448976.409999996</v>
      </c>
      <c r="U16" s="189">
        <f t="shared" si="2"/>
        <v>43448976.409999996</v>
      </c>
      <c r="V16" s="175">
        <f t="shared" si="3"/>
        <v>0</v>
      </c>
    </row>
    <row r="17" spans="1:22" x14ac:dyDescent="0.45">
      <c r="A17" s="190" t="s">
        <v>288</v>
      </c>
      <c r="B17" s="190" t="s">
        <v>89</v>
      </c>
      <c r="C17" s="190" t="s">
        <v>90</v>
      </c>
      <c r="D17" s="191">
        <v>356</v>
      </c>
      <c r="E17" s="191">
        <v>53605661</v>
      </c>
      <c r="F17" s="191">
        <v>0</v>
      </c>
      <c r="G17" s="191">
        <v>0</v>
      </c>
      <c r="H17" s="191">
        <v>356</v>
      </c>
      <c r="I17" s="191">
        <v>53605661</v>
      </c>
      <c r="J17" s="191">
        <v>2</v>
      </c>
      <c r="K17" s="191">
        <v>355000</v>
      </c>
      <c r="L17" s="191">
        <v>236</v>
      </c>
      <c r="M17" s="191">
        <v>37920198</v>
      </c>
      <c r="N17" s="192">
        <v>66.290000000000006</v>
      </c>
      <c r="O17" s="192">
        <v>70.739999999999995</v>
      </c>
      <c r="P17" s="135">
        <f t="shared" si="0"/>
        <v>14077293.170000002</v>
      </c>
      <c r="R17" s="173" t="s">
        <v>84</v>
      </c>
      <c r="S17" s="176">
        <f t="shared" si="1"/>
        <v>95369711</v>
      </c>
      <c r="T17" s="175">
        <v>43417827.670000002</v>
      </c>
      <c r="U17" s="189">
        <f t="shared" si="2"/>
        <v>43417827.670000002</v>
      </c>
      <c r="V17" s="175">
        <f t="shared" si="3"/>
        <v>0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0</v>
      </c>
      <c r="K18" s="194">
        <v>0</v>
      </c>
      <c r="L18" s="194">
        <v>428</v>
      </c>
      <c r="M18" s="194">
        <v>71076511</v>
      </c>
      <c r="N18" s="195">
        <v>66.67</v>
      </c>
      <c r="O18" s="195">
        <v>69.77</v>
      </c>
      <c r="P18" s="135">
        <f t="shared" si="0"/>
        <v>27733838.799999997</v>
      </c>
    </row>
    <row r="19" spans="1:22" x14ac:dyDescent="0.45">
      <c r="A19" s="190" t="s">
        <v>288</v>
      </c>
      <c r="B19" s="190" t="s">
        <v>289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0</v>
      </c>
      <c r="K19" s="191">
        <v>0</v>
      </c>
      <c r="L19" s="191">
        <v>209</v>
      </c>
      <c r="M19" s="191">
        <v>34697236</v>
      </c>
      <c r="N19" s="192">
        <v>65.72</v>
      </c>
      <c r="O19" s="192">
        <v>68.91</v>
      </c>
      <c r="P19" s="135">
        <f t="shared" si="0"/>
        <v>14144189.449999996</v>
      </c>
    </row>
    <row r="20" spans="1:22" x14ac:dyDescent="0.45">
      <c r="A20" s="193" t="s">
        <v>129</v>
      </c>
      <c r="B20" s="193" t="s">
        <v>71</v>
      </c>
      <c r="C20" s="193" t="s">
        <v>72</v>
      </c>
      <c r="D20" s="194">
        <v>968</v>
      </c>
      <c r="E20" s="194">
        <v>162344260</v>
      </c>
      <c r="F20" s="194">
        <v>0</v>
      </c>
      <c r="G20" s="194">
        <v>0</v>
      </c>
      <c r="H20" s="194">
        <v>968</v>
      </c>
      <c r="I20" s="194">
        <v>162344260</v>
      </c>
      <c r="J20" s="194">
        <v>5</v>
      </c>
      <c r="K20" s="194">
        <v>786437</v>
      </c>
      <c r="L20" s="194">
        <v>631</v>
      </c>
      <c r="M20" s="194">
        <v>106486134</v>
      </c>
      <c r="N20" s="195">
        <v>65.19</v>
      </c>
      <c r="O20" s="195">
        <v>65.59</v>
      </c>
      <c r="P20" s="135">
        <f t="shared" si="0"/>
        <v>50987798.199999988</v>
      </c>
    </row>
    <row r="21" spans="1:22" x14ac:dyDescent="0.45">
      <c r="A21" s="190" t="s">
        <v>129</v>
      </c>
      <c r="B21" s="190" t="s">
        <v>112</v>
      </c>
      <c r="C21" s="190" t="s">
        <v>113</v>
      </c>
      <c r="D21" s="191">
        <v>1198</v>
      </c>
      <c r="E21" s="191">
        <v>194517020</v>
      </c>
      <c r="F21" s="191">
        <v>0</v>
      </c>
      <c r="G21" s="191">
        <v>0</v>
      </c>
      <c r="H21" s="191">
        <v>1198</v>
      </c>
      <c r="I21" s="191">
        <v>194517020</v>
      </c>
      <c r="J21" s="191">
        <v>4</v>
      </c>
      <c r="K21" s="191">
        <v>570329</v>
      </c>
      <c r="L21" s="191">
        <v>735</v>
      </c>
      <c r="M21" s="191">
        <v>122206462</v>
      </c>
      <c r="N21" s="192">
        <v>61.35</v>
      </c>
      <c r="O21" s="192">
        <v>62.83</v>
      </c>
      <c r="P21" s="135">
        <f t="shared" si="0"/>
        <v>66475047.400000006</v>
      </c>
    </row>
    <row r="22" spans="1:22" x14ac:dyDescent="0.45">
      <c r="A22" s="193" t="s">
        <v>128</v>
      </c>
      <c r="B22" s="193" t="s">
        <v>86</v>
      </c>
      <c r="C22" s="193" t="s">
        <v>87</v>
      </c>
      <c r="D22" s="194">
        <v>853</v>
      </c>
      <c r="E22" s="194">
        <v>141474291</v>
      </c>
      <c r="F22" s="194">
        <v>0</v>
      </c>
      <c r="G22" s="194">
        <v>0</v>
      </c>
      <c r="H22" s="194">
        <v>853</v>
      </c>
      <c r="I22" s="194">
        <v>141474291</v>
      </c>
      <c r="J22" s="194">
        <v>2</v>
      </c>
      <c r="K22" s="194">
        <v>233432</v>
      </c>
      <c r="L22" s="194">
        <v>523</v>
      </c>
      <c r="M22" s="194">
        <v>88140047</v>
      </c>
      <c r="N22" s="195">
        <v>61.31</v>
      </c>
      <c r="O22" s="195">
        <v>62.3</v>
      </c>
      <c r="P22" s="135">
        <f t="shared" si="0"/>
        <v>49090015.270000011</v>
      </c>
    </row>
    <row r="23" spans="1:22" x14ac:dyDescent="0.45">
      <c r="A23" s="190" t="s">
        <v>128</v>
      </c>
      <c r="B23" s="190" t="s">
        <v>98</v>
      </c>
      <c r="C23" s="190" t="s">
        <v>99</v>
      </c>
      <c r="D23" s="191">
        <v>687</v>
      </c>
      <c r="E23" s="191">
        <v>105953075</v>
      </c>
      <c r="F23" s="191">
        <v>0</v>
      </c>
      <c r="G23" s="191">
        <v>0</v>
      </c>
      <c r="H23" s="191">
        <v>687</v>
      </c>
      <c r="I23" s="191">
        <v>105953075</v>
      </c>
      <c r="J23" s="191">
        <v>0</v>
      </c>
      <c r="K23" s="191">
        <v>0</v>
      </c>
      <c r="L23" s="191">
        <v>391</v>
      </c>
      <c r="M23" s="191">
        <v>61606596</v>
      </c>
      <c r="N23" s="192">
        <v>56.91</v>
      </c>
      <c r="O23" s="192">
        <v>58.15</v>
      </c>
      <c r="P23" s="135">
        <f t="shared" si="0"/>
        <v>41167886.75</v>
      </c>
    </row>
    <row r="24" spans="1:22" x14ac:dyDescent="0.45">
      <c r="A24" s="193" t="s">
        <v>128</v>
      </c>
      <c r="B24" s="193" t="s">
        <v>109</v>
      </c>
      <c r="C24" s="193" t="s">
        <v>110</v>
      </c>
      <c r="D24" s="194">
        <v>892</v>
      </c>
      <c r="E24" s="194">
        <v>149379338</v>
      </c>
      <c r="F24" s="194">
        <v>0</v>
      </c>
      <c r="G24" s="194">
        <v>0</v>
      </c>
      <c r="H24" s="194">
        <v>892</v>
      </c>
      <c r="I24" s="194">
        <v>149379338</v>
      </c>
      <c r="J24" s="194">
        <v>1</v>
      </c>
      <c r="K24" s="194">
        <v>106494</v>
      </c>
      <c r="L24" s="194">
        <v>506</v>
      </c>
      <c r="M24" s="194">
        <v>83814639</v>
      </c>
      <c r="N24" s="195">
        <v>56.73</v>
      </c>
      <c r="O24" s="195">
        <v>56.11</v>
      </c>
      <c r="P24" s="135">
        <f t="shared" si="0"/>
        <v>61083318.859999985</v>
      </c>
    </row>
    <row r="25" spans="1:22" x14ac:dyDescent="0.45">
      <c r="A25" s="190" t="s">
        <v>288</v>
      </c>
      <c r="B25" s="190" t="s">
        <v>80</v>
      </c>
      <c r="C25" s="190" t="s">
        <v>81</v>
      </c>
      <c r="D25" s="191">
        <v>546</v>
      </c>
      <c r="E25" s="191">
        <v>89879995</v>
      </c>
      <c r="F25" s="191">
        <v>0</v>
      </c>
      <c r="G25" s="191">
        <v>0</v>
      </c>
      <c r="H25" s="191">
        <v>546</v>
      </c>
      <c r="I25" s="191">
        <v>89879995</v>
      </c>
      <c r="J25" s="191">
        <v>1</v>
      </c>
      <c r="K25" s="191">
        <v>185000</v>
      </c>
      <c r="L25" s="191">
        <v>287</v>
      </c>
      <c r="M25" s="191">
        <v>49044586</v>
      </c>
      <c r="N25" s="192">
        <v>52.56</v>
      </c>
      <c r="O25" s="192">
        <v>54.57</v>
      </c>
      <c r="P25" s="135">
        <f t="shared" si="0"/>
        <v>38139009.149999991</v>
      </c>
    </row>
    <row r="26" spans="1:22" x14ac:dyDescent="0.45">
      <c r="A26" s="193" t="s">
        <v>129</v>
      </c>
      <c r="B26" s="193" t="s">
        <v>83</v>
      </c>
      <c r="C26" s="193" t="s">
        <v>84</v>
      </c>
      <c r="D26" s="194">
        <v>588</v>
      </c>
      <c r="E26" s="194">
        <v>95369711</v>
      </c>
      <c r="F26" s="194">
        <v>0</v>
      </c>
      <c r="G26" s="194">
        <v>0</v>
      </c>
      <c r="H26" s="194">
        <v>588</v>
      </c>
      <c r="I26" s="194">
        <v>95369711</v>
      </c>
      <c r="J26" s="194">
        <v>0</v>
      </c>
      <c r="K26" s="194">
        <v>100000</v>
      </c>
      <c r="L26" s="194">
        <v>292</v>
      </c>
      <c r="M26" s="194">
        <v>49090792</v>
      </c>
      <c r="N26" s="195">
        <v>49.66</v>
      </c>
      <c r="O26" s="195">
        <v>51.47</v>
      </c>
      <c r="P26" s="135">
        <f t="shared" si="0"/>
        <v>43417827.670000002</v>
      </c>
    </row>
    <row r="27" spans="1:22" x14ac:dyDescent="0.45">
      <c r="A27" s="190" t="s">
        <v>288</v>
      </c>
      <c r="B27" s="190" t="s">
        <v>77</v>
      </c>
      <c r="C27" s="190" t="s">
        <v>78</v>
      </c>
      <c r="D27" s="191">
        <v>683</v>
      </c>
      <c r="E27" s="191">
        <v>105983346</v>
      </c>
      <c r="F27" s="191">
        <v>0</v>
      </c>
      <c r="G27" s="191">
        <v>0</v>
      </c>
      <c r="H27" s="191">
        <v>683</v>
      </c>
      <c r="I27" s="191">
        <v>105983346</v>
      </c>
      <c r="J27" s="191">
        <v>0</v>
      </c>
      <c r="K27" s="191">
        <v>0</v>
      </c>
      <c r="L27" s="191">
        <v>211</v>
      </c>
      <c r="M27" s="191">
        <v>32622142</v>
      </c>
      <c r="N27" s="192">
        <v>30.89</v>
      </c>
      <c r="O27" s="192">
        <v>30.78</v>
      </c>
      <c r="P27" s="135">
        <f t="shared" si="0"/>
        <v>70181703.61999999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2026-02-23T02:09:43Z</dcterms:modified>
</cp:coreProperties>
</file>