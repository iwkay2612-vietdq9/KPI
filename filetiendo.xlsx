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AFCD2D9C-B6F2-43B4-A833-7C6814F3EE02}" xr6:coauthVersionLast="47" xr6:coauthVersionMax="47" xr10:uidLastSave="{00000000-0000-0000-0000-000000000000}"/>
  <bookViews>
    <workbookView xWindow="-98" yWindow="-98" windowWidth="21795" windowHeight="12975" tabRatio="808" activeTab="8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PI năm" sheetId="15" r:id="rId7"/>
    <sheet name="KH ngay" sheetId="12" r:id="rId8"/>
    <sheet name="cuoc" sheetId="24" r:id="rId9"/>
    <sheet name="Sheet2" sheetId="26" r:id="rId10"/>
  </sheets>
  <definedNames>
    <definedName name="__bookmark_1">#REF!</definedName>
    <definedName name="__bookmark_2">#REF!</definedName>
    <definedName name="_xlnm._FilterDatabase" localSheetId="8" hidden="1">cuoc!$A$6:$P$27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V13" i="24" s="1"/>
  <c r="S11" i="24"/>
  <c r="P12" i="24"/>
  <c r="S12" i="24"/>
  <c r="P13" i="24"/>
  <c r="S13" i="24"/>
  <c r="U13" i="24"/>
  <c r="P14" i="24"/>
  <c r="S14" i="24"/>
  <c r="P15" i="24"/>
  <c r="S15" i="24"/>
  <c r="P16" i="24"/>
  <c r="S16" i="24"/>
  <c r="U16" i="24"/>
  <c r="V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U8" i="24" l="1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J17" i="15"/>
  <c r="F17" i="15"/>
  <c r="J16" i="15"/>
  <c r="F16" i="15"/>
  <c r="J15" i="15"/>
  <c r="J14" i="15"/>
  <c r="F14" i="15"/>
  <c r="J13" i="15"/>
  <c r="F13" i="15"/>
  <c r="J12" i="15"/>
  <c r="F12" i="15"/>
  <c r="J11" i="15"/>
  <c r="F11" i="15"/>
  <c r="J10" i="15"/>
  <c r="F10" i="15"/>
  <c r="J9" i="15"/>
  <c r="F9" i="15"/>
  <c r="J8" i="15"/>
  <c r="F8" i="15"/>
  <c r="J7" i="15"/>
  <c r="F7" i="15"/>
  <c r="J6" i="15"/>
  <c r="F6" i="15"/>
  <c r="J5" i="15"/>
  <c r="F5" i="15"/>
  <c r="J4" i="15"/>
  <c r="F4" i="15"/>
  <c r="J3" i="15"/>
  <c r="F3" i="15"/>
  <c r="J2" i="15"/>
  <c r="F2" i="15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<sst xmlns="http://schemas.openxmlformats.org/spreadsheetml/2006/main" count="1049" uniqueCount="294">
  <si>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</si>
  <si>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</si>
  <si>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</si>
  <si>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</si>
  <si>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</si>
  <si>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</si>
  <si>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</si>
  <si>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</si>
  <si>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</si>
  <si>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</si>
  <si>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</si>
  <si>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</si>
  <si>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</si>
  <si>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</si>
  <si>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</si>
  <si>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</si>
  <si>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</si>
  <si>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</si>
  <si>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</si>
  <si>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</si>
  <si>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</si>
  <si>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</si>
  <si>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</si>
  <si>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</si>
  <si>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</si>
  <si>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</si>
  <si>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</si>
  <si>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</si>
  <si>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</si>
  <si>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</si>
  <si>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</si>
  <si>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</si>
  <si>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</si>
  <si>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</si>
  <si>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</si>
  <si>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</si>
  <si>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</si>
  <si>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</si>
  <si>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</si>
  <si>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</si>
  <si>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</si>
  <si>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</si>
  <si>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</si>
  <si>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</si>
  <si>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</si>
  <si>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</si>
  <si>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</si>
  <si>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</si>
  <si>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</si>
  <si>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</si>
  <si>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</si>
  <si>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</si>
  <si>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</si>
  <si>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</si>
  <si>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</si>
  <si>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</si>
  <si>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</si>
  <si>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</si>
  <si>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</si>
  <si>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</si>
  <si>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</si>
  <si>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</si>
  <si>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</si>
  <si>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</si>
  <si>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</si>
  <si>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</si>
  <si>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</si>
  <si>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</si>
  <si>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</si>
  <si>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</si>
  <si>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</si>
  <si>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</si>
  <si>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</si>
  <si>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</si>
  <si>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</si>
  <si>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</si>
  <si>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</si>
  <si>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</si>
  <si>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</si>
  <si>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</si>
  <si>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</si>
  <si>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</si>
  <si>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</si>
  <si>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</si>
  <si>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</si>
  <si>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</si>
  <si>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</si>
  <si>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</si>
  <si>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</si>
  <si>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</si>
  <si>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</si>
  <si>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</si>
  <si>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</si>
  <si>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</si>
  <si>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</si>
  <si>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</si>
  <si>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</si>
  <si>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</si>
  <si>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</si>
  <si>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</si>
  <si>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</si>
  <si>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</si>
  <si>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</si>
  <si>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</si>
  <si>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</si>
  <si>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</si>
  <si>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</si>
  <si>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</si>
  <si>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</si>
  <si>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</si>
  <si>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</si>
  <si>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</si>
  <si>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</si>
  <si>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</si>
  <si>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</si>
  <si>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</si>
  <si>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</si>
  <si>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</si>
  <si>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</si>
  <si>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</si>
  <si>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</si>
  <si>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</si>
  <si>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</si>
  <si>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</si>
  <si>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</si>
  <si>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</si>
  <si>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</si>
  <si>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</si>
  <si>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</si>
  <si>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</si>
  <si>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</si>
  <si>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</si>
  <si>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</si>
  <si>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</si>
  <si>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</si>
  <si>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</si>
  <si>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</si>
  <si>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</si>
  <si>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</si>
  <si>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</si>
  <si>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</si>
  <si>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</si>
  <si>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</si>
  <si>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</si>
  <si>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</si>
  <si>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</si>
  <si>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</si>
  <si>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</si>
  <si>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</si>
  <si>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</si>
  <si>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</si>
  <si>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</si>
  <si>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</si>
  <si>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</si>
  <si>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</si>
  <si>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</si>
  <si>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</si>
  <si>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</si>
  <si>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</si>
  <si>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</si>
  <si>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</si>
  <si>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</si>
  <si>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</si>
  <si>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</si>
  <si>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</si>
  <si>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</si>
  <si>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</si>
  <si>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</si>
  <si>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</si>
  <si>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</si>
  <si>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</si>
  <si>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</si>
  <si>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</si>
  <si>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</si>
  <si>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</si>
  <si>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</si>
  <si>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</si>
  <si>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</si>
  <si>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</si>
  <si>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</si>
  <si>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</si>
  <si>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</si>
  <si>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</si>
  <si>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</si>
  <si>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</si>
  <si>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</si>
  <si>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</si>
  <si>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</si>
  <si>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</si>
  <si>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</si>
  <si>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</si>
  <si>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</si>
  <si>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</si>
  <si>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</si>
  <si>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</si>
  <si>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</si>
  <si>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</si>
  <si>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</si>
  <si>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</si>
  <si>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</si>
  <si>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</si>
  <si>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</si>
  <si>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</si>
  <si>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</si>
  <si>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</si>
  <si>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</si>
  <si>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</si>
  <si>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</si>
  <si>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Tháng 1</t>
  </si>
  <si>
    <t>Tháng 2</t>
  </si>
  <si>
    <t>Tháng 3</t>
  </si>
  <si>
    <t>Quý 1</t>
  </si>
  <si>
    <t>Tháng 4</t>
  </si>
  <si>
    <t>Tháng 5</t>
  </si>
  <si>
    <t>Tháng 6</t>
  </si>
  <si>
    <t>Quý 2</t>
  </si>
  <si>
    <t>Tháng 7</t>
  </si>
  <si>
    <t>Tháng 8</t>
  </si>
  <si>
    <t>Tháng 9</t>
  </si>
  <si>
    <t>Tháng 10</t>
  </si>
  <si>
    <t>Tháng 11</t>
  </si>
  <si>
    <t>Tháng 12</t>
  </si>
  <si>
    <t>HKD_LDG_BLM_BINHNV</t>
  </si>
  <si>
    <t>NGUYỄN VĂN BÌNH</t>
  </si>
  <si>
    <t>HKD_LDG_BLM_CAMDT</t>
  </si>
  <si>
    <t>HKD_LDG_BLM_DATTQ</t>
  </si>
  <si>
    <t>HKD_LDG_BLM_DIEPNT</t>
  </si>
  <si>
    <t>HKD_LDG_BLM_DONGHT</t>
  </si>
  <si>
    <t>HOÀNG TRUNG ĐÔNG</t>
  </si>
  <si>
    <t>HKD_LDG_BLM_LIENNT</t>
  </si>
  <si>
    <t>HKD_LDG_BLM_LINHPTH</t>
  </si>
  <si>
    <t>HKD_LDG_BLM_LOANNT</t>
  </si>
  <si>
    <t>HKD_LDG_BLM_NGALTT</t>
  </si>
  <si>
    <t>HKD_LDG_BLM_PHUONGHT</t>
  </si>
  <si>
    <t>HKD_LDG_BLM_PHUONGTT</t>
  </si>
  <si>
    <t>HKD_LDG_BLM_QUANGNHD</t>
  </si>
  <si>
    <t>HKD_LDG_BLM_QUATND</t>
  </si>
  <si>
    <t>Trịnh Ngọc Tâm</t>
  </si>
  <si>
    <t>HKD_LDG_BLM_TRIHM</t>
  </si>
  <si>
    <t>HKD_LDG_BLM_VUONGPT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</si>
  <si>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</si>
  <si>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</si>
  <si>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</si>
  <si>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</si>
  <si>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</si>
  <si>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</si>
  <si>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</si>
  <si>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</si>
  <si>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</si>
  <si>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</si>
  <si>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</si>
  <si>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</si>
  <si>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</si>
  <si>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</si>
  <si>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</si>
  <si>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</si>
  <si>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</si>
  <si>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</si>
  <si>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</si>
  <si>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</si>
  <si>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</si>
  <si>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</si>
  <si>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</si>
  <si>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</si>
  <si>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</si>
  <si>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</si>
  <si>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</si>
  <si>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</si>
  <si>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</si>
  <si>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</si>
  <si>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</si>
  <si>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</si>
  <si>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</si>
  <si>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</si>
  <si>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</si>
  <si>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</si>
  <si>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</si>
  <si>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</si>
  <si>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</si>
  <si>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</si>
  <si>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</si>
  <si>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</si>
  <si>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</si>
  <si>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</si>
  <si>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</si>
  <si>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</si>
  <si>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</si>
  <si>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</si>
  <si>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TAIDT2_CTX_DVTM_LDG</t>
  </si>
  <si>
    <t>MAITTN_LDG_CNKD</t>
  </si>
  <si>
    <t>Đầu kỳ</t>
  </si>
  <si>
    <t>Cước ngày n-1</t>
  </si>
  <si>
    <t>Cước thu được 
trong ngày</t>
  </si>
  <si>
    <t>Cước cần thu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</si>
</sst>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70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0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7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6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7" fillId="26" borderId="0"/>
    <xf numFmtId="43" fontId="1" fillId="0" borderId="0"/>
    <xf numFmtId="0" fontId="1" fillId="0" borderId="0"/>
    <xf numFmtId="170" fontId="1" fillId="0" borderId="0"/>
    <xf numFmtId="0" fontId="68" fillId="0" borderId="0"/>
  </cellStyleXfs>
  <cellXfs count="275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0" fontId="21" fillId="2" borderId="22" xfId="0" applyFont="1" applyFill="1" applyBorder="1"/>
    <xf numFmtId="49" fontId="21" fillId="2" borderId="23" xfId="0" applyNumberFormat="1" applyFont="1" applyFill="1" applyBorder="1"/>
    <xf numFmtId="0" fontId="21" fillId="2" borderId="24" xfId="0" applyFont="1" applyFill="1" applyBorder="1"/>
    <xf numFmtId="1" fontId="1" fillId="0" borderId="0" xfId="0" applyNumberFormat="1" applyFont="1"/>
    <xf numFmtId="0" fontId="1" fillId="0" borderId="25" xfId="0" applyFont="1" applyBorder="1" applyAlignment="1">
      <alignment horizontal="center" vertical="center"/>
    </xf>
    <xf numFmtId="0" fontId="22" fillId="9" borderId="26" xfId="6" applyFont="1" applyFill="1" applyBorder="1" applyAlignment="1">
      <alignment horizontal="center" vertical="center"/>
    </xf>
    <xf numFmtId="0" fontId="11" fillId="0" borderId="27" xfId="1" applyFont="1" applyBorder="1" applyAlignment="1">
      <alignment horizontal="left" vertical="center" wrapText="1"/>
    </xf>
    <xf numFmtId="0" fontId="12" fillId="9" borderId="28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9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30" xfId="0" applyNumberFormat="1" applyFont="1" applyFill="1" applyBorder="1" applyAlignment="1">
      <alignment vertical="center" wrapText="1"/>
    </xf>
    <xf numFmtId="0" fontId="26" fillId="2" borderId="31" xfId="0" applyFont="1" applyFill="1" applyBorder="1" applyAlignment="1">
      <alignment horizontal="right" vertical="center" wrapText="1"/>
    </xf>
    <xf numFmtId="10" fontId="1" fillId="0" borderId="32" xfId="2" applyNumberFormat="1" applyBorder="1"/>
    <xf numFmtId="0" fontId="11" fillId="12" borderId="33" xfId="6" applyFont="1" applyFill="1" applyBorder="1" applyAlignment="1">
      <alignment horizontal="center" vertical="center" wrapText="1"/>
    </xf>
    <xf numFmtId="1" fontId="12" fillId="2" borderId="34" xfId="0" applyNumberFormat="1" applyFont="1" applyFill="1" applyBorder="1" applyAlignment="1">
      <alignment horizontal="center" vertical="center"/>
    </xf>
    <xf numFmtId="0" fontId="8" fillId="13" borderId="35" xfId="0" applyFont="1" applyFill="1" applyBorder="1" applyAlignment="1">
      <alignment horizontal="center" vertical="center"/>
    </xf>
    <xf numFmtId="1" fontId="12" fillId="13" borderId="36" xfId="0" applyNumberFormat="1" applyFont="1" applyFill="1" applyBorder="1" applyAlignment="1">
      <alignment horizontal="center" vertical="center"/>
    </xf>
    <xf numFmtId="0" fontId="8" fillId="13" borderId="37" xfId="0" applyFont="1" applyFill="1" applyBorder="1" applyAlignment="1">
      <alignment horizontal="center" vertical="center" wrapText="1"/>
    </xf>
    <xf numFmtId="1" fontId="12" fillId="13" borderId="38" xfId="0" applyNumberFormat="1" applyFont="1" applyFill="1" applyBorder="1" applyAlignment="1">
      <alignment horizontal="center" vertical="center" wrapText="1"/>
    </xf>
    <xf numFmtId="0" fontId="11" fillId="0" borderId="39" xfId="0" applyFont="1" applyBorder="1" applyAlignment="1">
      <alignment horizontal="left" vertical="center" wrapText="1"/>
    </xf>
    <xf numFmtId="0" fontId="11" fillId="0" borderId="27" xfId="0" applyFont="1" applyBorder="1" applyAlignment="1">
      <alignment horizontal="left" vertical="center" wrapText="1"/>
    </xf>
    <xf numFmtId="0" fontId="10" fillId="7" borderId="40" xfId="0" applyFont="1" applyFill="1" applyBorder="1" applyAlignment="1">
      <alignment horizontal="center" vertical="center"/>
    </xf>
    <xf numFmtId="0" fontId="10" fillId="3" borderId="41" xfId="0" applyFont="1" applyFill="1" applyBorder="1" applyAlignment="1">
      <alignment horizontal="center" vertical="center"/>
    </xf>
    <xf numFmtId="0" fontId="18" fillId="0" borderId="42" xfId="0" applyFont="1" applyBorder="1"/>
    <xf numFmtId="0" fontId="18" fillId="2" borderId="43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44" xfId="6" applyFont="1" applyFill="1" applyBorder="1" applyAlignment="1">
      <alignment horizontal="center" vertical="center" wrapText="1"/>
    </xf>
    <xf numFmtId="0" fontId="22" fillId="15" borderId="45" xfId="6" applyFont="1" applyFill="1" applyBorder="1" applyAlignment="1">
      <alignment horizontal="center" vertical="center" wrapText="1"/>
    </xf>
    <xf numFmtId="165" fontId="11" fillId="2" borderId="46" xfId="0" applyNumberFormat="1" applyFont="1" applyFill="1" applyBorder="1" applyAlignment="1">
      <alignment horizontal="center" vertical="center"/>
    </xf>
    <xf numFmtId="164" fontId="28" fillId="0" borderId="47" xfId="0" applyNumberFormat="1" applyFont="1" applyBorder="1" applyAlignment="1">
      <alignment horizontal="center"/>
    </xf>
    <xf numFmtId="9" fontId="8" fillId="13" borderId="48" xfId="2" applyFont="1" applyFill="1" applyBorder="1" applyAlignment="1">
      <alignment horizontal="center" vertical="center" wrapText="1"/>
    </xf>
    <xf numFmtId="9" fontId="12" fillId="13" borderId="49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7" fillId="11" borderId="50" xfId="0" applyNumberFormat="1" applyFont="1" applyFill="1" applyBorder="1" applyAlignment="1">
      <alignment horizontal="center" vertical="center"/>
    </xf>
    <xf numFmtId="1" fontId="16" fillId="11" borderId="51" xfId="0" applyNumberFormat="1" applyFont="1" applyFill="1" applyBorder="1" applyAlignment="1">
      <alignment horizontal="center" vertical="center"/>
    </xf>
    <xf numFmtId="0" fontId="29" fillId="5" borderId="52" xfId="1" applyFont="1" applyFill="1" applyBorder="1" applyAlignment="1">
      <alignment vertical="center" wrapText="1"/>
    </xf>
    <xf numFmtId="2" fontId="30" fillId="10" borderId="0" xfId="0" applyNumberFormat="1" applyFont="1" applyFill="1" applyAlignment="1">
      <alignment horizontal="center" vertical="center"/>
    </xf>
    <xf numFmtId="0" fontId="31" fillId="5" borderId="0" xfId="0" applyFont="1" applyFill="1" applyAlignment="1">
      <alignment horizontal="center" vertical="center"/>
    </xf>
    <xf numFmtId="0" fontId="23" fillId="6" borderId="53" xfId="0" applyFont="1" applyFill="1" applyBorder="1" applyAlignment="1">
      <alignment horizontal="center" vertical="center" wrapText="1"/>
    </xf>
    <xf numFmtId="10" fontId="10" fillId="0" borderId="0" xfId="0" applyNumberFormat="1" applyFont="1" applyAlignment="1">
      <alignment horizontal="right" wrapText="1"/>
    </xf>
    <xf numFmtId="10" fontId="26" fillId="2" borderId="54" xfId="0" applyNumberFormat="1" applyFont="1" applyFill="1" applyBorder="1" applyAlignment="1">
      <alignment horizontal="right" vertical="center" wrapText="1"/>
    </xf>
    <xf numFmtId="10" fontId="26" fillId="5" borderId="55" xfId="0" applyNumberFormat="1" applyFont="1" applyFill="1" applyBorder="1" applyAlignment="1">
      <alignment horizontal="right" vertical="center" wrapText="1"/>
    </xf>
    <xf numFmtId="0" fontId="26" fillId="5" borderId="56" xfId="0" applyFont="1" applyFill="1" applyBorder="1" applyAlignment="1">
      <alignment horizontal="right" vertical="center" wrapText="1"/>
    </xf>
    <xf numFmtId="10" fontId="10" fillId="0" borderId="57" xfId="0" applyNumberFormat="1" applyFont="1" applyBorder="1" applyAlignment="1">
      <alignment horizontal="right" wrapText="1"/>
    </xf>
    <xf numFmtId="10" fontId="10" fillId="0" borderId="57" xfId="2" applyNumberFormat="1" applyFont="1" applyBorder="1" applyAlignment="1">
      <alignment horizontal="right" wrapText="1"/>
    </xf>
    <xf numFmtId="10" fontId="20" fillId="5" borderId="58" xfId="2" applyNumberFormat="1" applyFont="1" applyFill="1" applyBorder="1" applyAlignment="1">
      <alignment horizontal="right" wrapText="1"/>
    </xf>
    <xf numFmtId="0" fontId="32" fillId="0" borderId="59" xfId="0" applyFont="1" applyBorder="1" applyAlignment="1">
      <alignment wrapText="1"/>
    </xf>
    <xf numFmtId="0" fontId="1" fillId="16" borderId="60" xfId="0" applyFont="1" applyFill="1" applyBorder="1" applyAlignment="1">
      <alignment horizontal="center" vertical="center"/>
    </xf>
    <xf numFmtId="0" fontId="1" fillId="16" borderId="61" xfId="0" applyFont="1" applyFill="1" applyBorder="1" applyAlignment="1">
      <alignment horizontal="center" vertical="center" wrapText="1"/>
    </xf>
    <xf numFmtId="0" fontId="18" fillId="16" borderId="62" xfId="0" applyFont="1" applyFill="1" applyBorder="1" applyAlignment="1">
      <alignment horizontal="center" vertical="center"/>
    </xf>
    <xf numFmtId="0" fontId="10" fillId="0" borderId="0" xfId="0" applyFont="1" applyAlignment="1">
      <alignment wrapText="1"/>
    </xf>
    <xf numFmtId="1" fontId="33" fillId="6" borderId="63" xfId="7" applyNumberFormat="1" applyFont="1" applyFill="1" applyBorder="1" applyAlignment="1">
      <alignment horizontal="center" vertical="center" wrapText="1"/>
    </xf>
    <xf numFmtId="1" fontId="33" fillId="6" borderId="64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65" xfId="0" applyFont="1" applyFill="1" applyBorder="1" applyAlignment="1">
      <alignment horizontal="center" vertical="center" wrapText="1"/>
    </xf>
    <xf numFmtId="2" fontId="22" fillId="15" borderId="66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5" fillId="13" borderId="67" xfId="0" applyFont="1" applyFill="1" applyBorder="1" applyAlignment="1">
      <alignment wrapText="1"/>
    </xf>
    <xf numFmtId="0" fontId="35" fillId="13" borderId="68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69" xfId="0" applyFont="1" applyBorder="1" applyAlignment="1">
      <alignment vertical="center"/>
    </xf>
    <xf numFmtId="0" fontId="13" fillId="5" borderId="70" xfId="0" applyFont="1" applyFill="1" applyBorder="1" applyAlignment="1">
      <alignment vertical="center" wrapText="1"/>
    </xf>
    <xf numFmtId="0" fontId="13" fillId="5" borderId="71" xfId="0" applyFont="1" applyFill="1" applyBorder="1" applyAlignment="1">
      <alignment vertical="center" wrapText="1"/>
    </xf>
    <xf numFmtId="1" fontId="22" fillId="5" borderId="72" xfId="4" applyNumberFormat="1" applyFont="1" applyFill="1" applyBorder="1" applyAlignment="1">
      <alignment horizontal="center" vertical="center" wrapText="1"/>
    </xf>
    <xf numFmtId="0" fontId="22" fillId="5" borderId="73" xfId="5" applyFont="1" applyFill="1" applyBorder="1" applyAlignment="1">
      <alignment horizontal="center" vertical="center" wrapText="1"/>
    </xf>
    <xf numFmtId="0" fontId="22" fillId="5" borderId="73" xfId="4" applyFont="1" applyFill="1" applyBorder="1" applyAlignment="1">
      <alignment horizontal="center" vertical="center" wrapText="1"/>
    </xf>
    <xf numFmtId="165" fontId="13" fillId="0" borderId="74" xfId="0" applyNumberFormat="1" applyFont="1" applyBorder="1" applyAlignment="1">
      <alignment horizontal="left" vertical="center"/>
    </xf>
    <xf numFmtId="10" fontId="37" fillId="19" borderId="75" xfId="0" applyNumberFormat="1" applyFont="1" applyFill="1" applyBorder="1"/>
    <xf numFmtId="10" fontId="14" fillId="6" borderId="76" xfId="0" applyNumberFormat="1" applyFont="1" applyFill="1" applyBorder="1"/>
    <xf numFmtId="165" fontId="13" fillId="6" borderId="77" xfId="0" applyNumberFormat="1" applyFont="1" applyFill="1" applyBorder="1" applyAlignment="1">
      <alignment horizontal="left" vertical="center"/>
    </xf>
    <xf numFmtId="10" fontId="13" fillId="6" borderId="78" xfId="2" applyNumberFormat="1" applyFont="1" applyFill="1" applyBorder="1" applyAlignment="1">
      <alignment horizontal="right" vertical="center"/>
    </xf>
    <xf numFmtId="165" fontId="13" fillId="11" borderId="79" xfId="0" applyNumberFormat="1" applyFont="1" applyFill="1" applyBorder="1" applyAlignment="1">
      <alignment horizontal="left" vertical="center"/>
    </xf>
    <xf numFmtId="10" fontId="38" fillId="11" borderId="80" xfId="0" applyNumberFormat="1" applyFont="1" applyFill="1" applyBorder="1"/>
    <xf numFmtId="165" fontId="13" fillId="11" borderId="81" xfId="0" applyNumberFormat="1" applyFont="1" applyFill="1" applyBorder="1" applyAlignment="1">
      <alignment horizontal="left" vertical="center"/>
    </xf>
    <xf numFmtId="0" fontId="21" fillId="2" borderId="82" xfId="0" applyFont="1" applyFill="1" applyBorder="1" applyAlignment="1">
      <alignment vertical="center" wrapText="1"/>
    </xf>
    <xf numFmtId="49" fontId="21" fillId="2" borderId="83" xfId="0" applyNumberFormat="1" applyFont="1" applyFill="1" applyBorder="1" applyAlignment="1">
      <alignment horizontal="right" vertical="center" wrapText="1"/>
    </xf>
    <xf numFmtId="0" fontId="21" fillId="2" borderId="84" xfId="0" applyFont="1" applyFill="1" applyBorder="1" applyAlignment="1">
      <alignment horizontal="right" vertical="center" wrapText="1"/>
    </xf>
    <xf numFmtId="3" fontId="21" fillId="2" borderId="85" xfId="0" applyNumberFormat="1" applyFont="1" applyFill="1" applyBorder="1" applyAlignment="1">
      <alignment vertical="center" wrapText="1"/>
    </xf>
    <xf numFmtId="49" fontId="21" fillId="5" borderId="86" xfId="0" applyNumberFormat="1" applyFont="1" applyFill="1" applyBorder="1" applyAlignment="1">
      <alignment vertical="center" wrapText="1"/>
    </xf>
    <xf numFmtId="0" fontId="21" fillId="5" borderId="87" xfId="0" applyFont="1" applyFill="1" applyBorder="1" applyAlignment="1">
      <alignment vertical="center" wrapText="1"/>
    </xf>
    <xf numFmtId="0" fontId="40" fillId="5" borderId="88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1" fillId="0" borderId="89" xfId="0" applyFont="1" applyBorder="1"/>
    <xf numFmtId="0" fontId="41" fillId="0" borderId="90" xfId="0" applyFont="1" applyBorder="1"/>
    <xf numFmtId="0" fontId="42" fillId="0" borderId="0" xfId="0" applyFont="1"/>
    <xf numFmtId="0" fontId="13" fillId="0" borderId="0" xfId="0" applyFont="1" applyAlignment="1">
      <alignment horizontal="center" vertical="center"/>
    </xf>
    <xf numFmtId="2" fontId="43" fillId="5" borderId="92" xfId="0" applyNumberFormat="1" applyFont="1" applyFill="1" applyBorder="1" applyAlignment="1">
      <alignment horizontal="center" vertical="center" wrapText="1"/>
    </xf>
    <xf numFmtId="0" fontId="23" fillId="0" borderId="93" xfId="0" applyFont="1" applyBorder="1" applyAlignment="1">
      <alignment horizontal="center" vertical="center" wrapText="1"/>
    </xf>
    <xf numFmtId="2" fontId="12" fillId="2" borderId="94" xfId="6" applyNumberFormat="1" applyFont="1" applyFill="1" applyBorder="1" applyAlignment="1">
      <alignment horizontal="center" vertical="center" wrapText="1"/>
    </xf>
    <xf numFmtId="10" fontId="44" fillId="5" borderId="95" xfId="0" applyNumberFormat="1" applyFont="1" applyFill="1" applyBorder="1" applyAlignment="1">
      <alignment vertical="center" wrapText="1"/>
    </xf>
    <xf numFmtId="0" fontId="14" fillId="6" borderId="96" xfId="0" applyFont="1" applyFill="1" applyBorder="1" applyAlignment="1">
      <alignment horizontal="center"/>
    </xf>
    <xf numFmtId="0" fontId="41" fillId="5" borderId="97" xfId="0" applyFont="1" applyFill="1" applyBorder="1"/>
    <xf numFmtId="167" fontId="34" fillId="0" borderId="0" xfId="8" applyNumberFormat="1" applyFont="1"/>
    <xf numFmtId="0" fontId="32" fillId="0" borderId="0" xfId="0" applyFont="1" applyAlignment="1">
      <alignment horizontal="left" vertical="center"/>
    </xf>
    <xf numFmtId="0" fontId="45" fillId="21" borderId="99" xfId="0" applyFont="1" applyFill="1" applyBorder="1" applyAlignment="1">
      <alignment horizontal="center" vertical="center"/>
    </xf>
    <xf numFmtId="166" fontId="46" fillId="0" borderId="100" xfId="10" applyNumberFormat="1" applyFont="1" applyBorder="1" applyAlignment="1">
      <alignment vertical="center"/>
    </xf>
    <xf numFmtId="0" fontId="41" fillId="18" borderId="101" xfId="0" applyFont="1" applyFill="1" applyBorder="1"/>
    <xf numFmtId="0" fontId="1" fillId="0" borderId="0" xfId="0" applyFont="1" applyAlignment="1">
      <alignment horizontal="center"/>
    </xf>
    <xf numFmtId="165" fontId="13" fillId="5" borderId="102" xfId="0" applyNumberFormat="1" applyFont="1" applyFill="1" applyBorder="1" applyAlignment="1">
      <alignment horizontal="left" vertical="center"/>
    </xf>
    <xf numFmtId="165" fontId="13" fillId="20" borderId="103" xfId="0" applyNumberFormat="1" applyFont="1" applyFill="1" applyBorder="1" applyAlignment="1">
      <alignment horizontal="left" vertical="center"/>
    </xf>
    <xf numFmtId="0" fontId="10" fillId="3" borderId="104" xfId="0" applyFont="1" applyFill="1" applyBorder="1" applyAlignment="1">
      <alignment horizontal="center" vertical="center"/>
    </xf>
    <xf numFmtId="0" fontId="45" fillId="21" borderId="105" xfId="0" applyFont="1" applyFill="1" applyBorder="1" applyAlignment="1">
      <alignment horizontal="center" vertical="center"/>
    </xf>
    <xf numFmtId="168" fontId="18" fillId="5" borderId="106" xfId="0" applyNumberFormat="1" applyFont="1" applyFill="1" applyBorder="1"/>
    <xf numFmtId="168" fontId="18" fillId="20" borderId="107" xfId="0" applyNumberFormat="1" applyFont="1" applyFill="1" applyBorder="1"/>
    <xf numFmtId="165" fontId="13" fillId="2" borderId="108" xfId="0" applyNumberFormat="1" applyFont="1" applyFill="1" applyBorder="1" applyAlignment="1">
      <alignment horizontal="left" vertical="center"/>
    </xf>
    <xf numFmtId="0" fontId="13" fillId="0" borderId="111" xfId="0" applyFont="1" applyBorder="1"/>
    <xf numFmtId="9" fontId="11" fillId="0" borderId="112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65" xfId="0" applyFont="1" applyBorder="1"/>
    <xf numFmtId="0" fontId="13" fillId="0" borderId="165" xfId="0" applyFont="1" applyBorder="1" applyAlignment="1">
      <alignment horizontal="center" vertical="center"/>
    </xf>
    <xf numFmtId="0" fontId="61" fillId="0" borderId="165" xfId="0" applyFont="1" applyBorder="1" applyAlignment="1">
      <alignment horizontal="center"/>
    </xf>
    <xf numFmtId="9" fontId="61" fillId="0" borderId="165" xfId="2" applyFont="1" applyBorder="1" applyAlignment="1">
      <alignment horizontal="center"/>
    </xf>
    <xf numFmtId="0" fontId="62" fillId="0" borderId="0" xfId="0" applyFont="1"/>
    <xf numFmtId="0" fontId="64" fillId="0" borderId="0" xfId="0" applyFont="1" applyAlignment="1">
      <alignment horizontal="center"/>
    </xf>
    <xf numFmtId="0" fontId="64" fillId="28" borderId="174" xfId="0" applyFont="1" applyFill="1" applyBorder="1" applyAlignment="1">
      <alignment vertical="center"/>
    </xf>
    <xf numFmtId="0" fontId="62" fillId="28" borderId="146" xfId="0" applyFont="1" applyFill="1" applyBorder="1"/>
    <xf numFmtId="0" fontId="62" fillId="28" borderId="146" xfId="0" applyFont="1" applyFill="1" applyBorder="1" applyAlignment="1">
      <alignment vertical="center"/>
    </xf>
    <xf numFmtId="0" fontId="64" fillId="28" borderId="175" xfId="0" applyFont="1" applyFill="1" applyBorder="1" applyAlignment="1">
      <alignment horizontal="center" vertical="center"/>
    </xf>
    <xf numFmtId="0" fontId="64" fillId="28" borderId="110" xfId="0" applyFont="1" applyFill="1" applyBorder="1" applyAlignment="1">
      <alignment horizontal="left" vertical="center"/>
    </xf>
    <xf numFmtId="0" fontId="64" fillId="28" borderId="110" xfId="0" applyFont="1" applyFill="1" applyBorder="1" applyAlignment="1">
      <alignment horizontal="center" vertical="center"/>
    </xf>
    <xf numFmtId="0" fontId="64" fillId="27" borderId="110" xfId="0" applyFont="1" applyFill="1" applyBorder="1" applyAlignment="1">
      <alignment vertical="center"/>
    </xf>
    <xf numFmtId="0" fontId="64" fillId="27" borderId="91" xfId="0" applyFont="1" applyFill="1" applyBorder="1" applyAlignment="1">
      <alignment vertical="center"/>
    </xf>
    <xf numFmtId="0" fontId="66" fillId="0" borderId="175" xfId="0" applyFont="1" applyBorder="1"/>
    <xf numFmtId="0" fontId="66" fillId="0" borderId="110" xfId="0" applyFont="1" applyBorder="1"/>
    <xf numFmtId="0" fontId="66" fillId="0" borderId="176" xfId="0" applyFont="1" applyBorder="1"/>
    <xf numFmtId="0" fontId="66" fillId="0" borderId="177" xfId="0" applyFont="1" applyBorder="1"/>
    <xf numFmtId="0" fontId="21" fillId="2" borderId="83" xfId="0" applyFont="1" applyFill="1" applyBorder="1" applyAlignment="1">
      <alignment horizontal="right" vertical="center" wrapText="1"/>
    </xf>
    <xf numFmtId="9" fontId="23" fillId="5" borderId="65" xfId="0" applyNumberFormat="1" applyFont="1" applyFill="1" applyBorder="1" applyAlignment="1">
      <alignment horizontal="center" vertical="center" wrapText="1"/>
    </xf>
    <xf numFmtId="0" fontId="22" fillId="5" borderId="27" xfId="1" applyFont="1" applyFill="1" applyBorder="1" applyAlignment="1">
      <alignment horizontal="left" vertical="center" wrapText="1"/>
    </xf>
    <xf numFmtId="0" fontId="11" fillId="0" borderId="165" xfId="1" applyFont="1" applyBorder="1" applyAlignment="1">
      <alignment horizontal="left" vertical="center" wrapText="1"/>
    </xf>
    <xf numFmtId="10" fontId="23" fillId="2" borderId="160" xfId="0" applyNumberFormat="1" applyFont="1" applyFill="1" applyBorder="1" applyAlignment="1">
      <alignment vertical="center" wrapText="1"/>
    </xf>
    <xf numFmtId="0" fontId="69" fillId="0" borderId="165" xfId="0" applyFont="1" applyBorder="1" applyAlignment="1">
      <alignment vertical="center"/>
    </xf>
    <xf numFmtId="0" fontId="32" fillId="0" borderId="178" xfId="0" applyFont="1" applyBorder="1" applyAlignment="1">
      <alignment vertical="center"/>
    </xf>
    <xf numFmtId="0" fontId="32" fillId="22" borderId="178" xfId="0" applyFont="1" applyFill="1" applyBorder="1" applyAlignment="1">
      <alignment vertical="center"/>
    </xf>
    <xf numFmtId="168" fontId="45" fillId="18" borderId="98" xfId="0" applyNumberFormat="1" applyFont="1" applyFill="1" applyBorder="1" applyAlignment="1">
      <alignment horizontal="right" vertical="center"/>
    </xf>
    <xf numFmtId="168" fontId="45" fillId="30" borderId="98" xfId="0" applyNumberFormat="1" applyFont="1" applyFill="1" applyBorder="1" applyAlignment="1">
      <alignment horizontal="right" vertical="center"/>
    </xf>
    <xf numFmtId="165" fontId="13" fillId="31" borderId="165" xfId="0" applyNumberFormat="1" applyFont="1" applyFill="1" applyBorder="1" applyAlignment="1">
      <alignment horizontal="left" vertical="center"/>
    </xf>
    <xf numFmtId="0" fontId="10" fillId="31" borderId="138" xfId="0" applyFont="1" applyFill="1" applyBorder="1" applyAlignment="1">
      <alignment horizontal="center" vertical="center"/>
    </xf>
    <xf numFmtId="165" fontId="11" fillId="31" borderId="165" xfId="0" applyNumberFormat="1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/>
    </xf>
    <xf numFmtId="1" fontId="12" fillId="31" borderId="165" xfId="0" applyNumberFormat="1" applyFont="1" applyFill="1" applyBorder="1" applyAlignment="1">
      <alignment horizontal="center" vertical="center"/>
    </xf>
    <xf numFmtId="0" fontId="11" fillId="31" borderId="165" xfId="0" applyFont="1" applyFill="1" applyBorder="1" applyAlignment="1">
      <alignment horizontal="center" vertical="center"/>
    </xf>
    <xf numFmtId="0" fontId="10" fillId="31" borderId="165" xfId="0" applyFont="1" applyFill="1" applyBorder="1" applyAlignment="1">
      <alignment horizontal="center" vertical="center"/>
    </xf>
    <xf numFmtId="9" fontId="12" fillId="31" borderId="165" xfId="2" applyFont="1" applyFill="1" applyBorder="1" applyAlignment="1">
      <alignment horizontal="center" vertical="center" wrapText="1"/>
    </xf>
    <xf numFmtId="10" fontId="9" fillId="31" borderId="165" xfId="0" applyNumberFormat="1" applyFont="1" applyFill="1" applyBorder="1" applyAlignment="1">
      <alignment vertical="center"/>
    </xf>
    <xf numFmtId="10" fontId="44" fillId="31" borderId="165" xfId="0" applyNumberFormat="1" applyFont="1" applyFill="1" applyBorder="1" applyAlignment="1">
      <alignment vertical="center" wrapText="1"/>
    </xf>
    <xf numFmtId="1" fontId="12" fillId="31" borderId="165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5" fillId="18" borderId="173" xfId="0" applyNumberFormat="1" applyFont="1" applyFill="1" applyBorder="1" applyAlignment="1">
      <alignment horizontal="right" vertical="center"/>
    </xf>
    <xf numFmtId="0" fontId="62" fillId="0" borderId="173" xfId="0" applyFont="1" applyBorder="1" applyAlignment="1">
      <alignment vertical="center"/>
    </xf>
    <xf numFmtId="165" fontId="62" fillId="0" borderId="173" xfId="0" applyNumberFormat="1" applyFont="1" applyBorder="1" applyAlignment="1">
      <alignment horizontal="right" vertical="center"/>
    </xf>
    <xf numFmtId="0" fontId="62" fillId="0" borderId="173" xfId="0" applyFont="1" applyBorder="1" applyAlignment="1">
      <alignment horizontal="right" vertical="center"/>
    </xf>
    <xf numFmtId="0" fontId="62" fillId="32" borderId="173" xfId="0" applyFont="1" applyFill="1" applyBorder="1" applyAlignment="1">
      <alignment vertical="center"/>
    </xf>
    <xf numFmtId="165" fontId="62" fillId="32" borderId="173" xfId="0" applyNumberFormat="1" applyFont="1" applyFill="1" applyBorder="1" applyAlignment="1">
      <alignment horizontal="right" vertical="center"/>
    </xf>
    <xf numFmtId="0" fontId="62" fillId="32" borderId="173" xfId="0" applyFont="1" applyFill="1" applyBorder="1" applyAlignment="1">
      <alignment horizontal="right" vertical="center"/>
    </xf>
    <xf numFmtId="0" fontId="66" fillId="0" borderId="110" xfId="11" applyFont="1" applyBorder="1"/>
    <xf numFmtId="0" fontId="66" fillId="0" borderId="109" xfId="11" applyFont="1" applyBorder="1"/>
    <xf numFmtId="0" fontId="62" fillId="0" borderId="109" xfId="11" applyFont="1" applyBorder="1"/>
    <xf numFmtId="0" fontId="66" fillId="0" borderId="177" xfId="11" applyFont="1" applyBorder="1"/>
    <xf numFmtId="0" fontId="50" fillId="5" borderId="0" xfId="0" applyFont="1" applyFill="1" applyAlignment="1">
      <alignment horizontal="center" vertical="center"/>
    </xf>
    <xf numFmtId="0" fontId="50" fillId="5" borderId="127" xfId="0" applyFont="1" applyFill="1" applyBorder="1" applyAlignment="1">
      <alignment horizontal="center" vertical="center"/>
    </xf>
    <xf numFmtId="0" fontId="29" fillId="5" borderId="130" xfId="1" applyFont="1" applyFill="1" applyBorder="1" applyAlignment="1">
      <alignment horizontal="center" vertical="center" wrapText="1"/>
    </xf>
    <xf numFmtId="0" fontId="12" fillId="5" borderId="128" xfId="1" applyFont="1" applyFill="1" applyBorder="1" applyAlignment="1">
      <alignment horizontal="center" vertical="center" wrapText="1"/>
    </xf>
    <xf numFmtId="0" fontId="12" fillId="24" borderId="132" xfId="0" applyFont="1" applyFill="1" applyBorder="1" applyAlignment="1">
      <alignment horizontal="center" vertical="center"/>
    </xf>
    <xf numFmtId="0" fontId="12" fillId="23" borderId="131" xfId="0" applyFont="1" applyFill="1" applyBorder="1" applyAlignment="1">
      <alignment horizontal="center" vertical="center"/>
    </xf>
    <xf numFmtId="0" fontId="49" fillId="23" borderId="141" xfId="0" applyFont="1" applyFill="1" applyBorder="1" applyAlignment="1">
      <alignment horizontal="center" vertical="center"/>
    </xf>
    <xf numFmtId="0" fontId="17" fillId="5" borderId="129" xfId="1" applyFont="1" applyFill="1" applyBorder="1" applyAlignment="1">
      <alignment horizontal="center" vertical="center" wrapText="1"/>
    </xf>
    <xf numFmtId="0" fontId="12" fillId="5" borderId="135" xfId="1" applyFont="1" applyFill="1" applyBorder="1" applyAlignment="1">
      <alignment horizontal="center" vertical="center" wrapText="1"/>
    </xf>
    <xf numFmtId="0" fontId="12" fillId="5" borderId="134" xfId="1" applyFont="1" applyFill="1" applyBorder="1" applyAlignment="1">
      <alignment horizontal="center" vertical="center" wrapText="1"/>
    </xf>
    <xf numFmtId="0" fontId="12" fillId="5" borderId="133" xfId="1" applyFont="1" applyFill="1" applyBorder="1" applyAlignment="1">
      <alignment horizontal="center" vertical="center" wrapText="1"/>
    </xf>
    <xf numFmtId="0" fontId="36" fillId="16" borderId="136" xfId="0" applyFont="1" applyFill="1" applyBorder="1" applyAlignment="1">
      <alignment horizontal="center" vertical="center"/>
    </xf>
    <xf numFmtId="0" fontId="48" fillId="2" borderId="137" xfId="0" applyFont="1" applyFill="1" applyBorder="1" applyAlignment="1">
      <alignment horizontal="center" vertical="center" wrapText="1"/>
    </xf>
    <xf numFmtId="169" fontId="14" fillId="5" borderId="0" xfId="0" applyNumberFormat="1" applyFont="1" applyFill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29" fillId="5" borderId="140" xfId="1" applyFont="1" applyFill="1" applyBorder="1" applyAlignment="1">
      <alignment horizontal="center" vertical="center" wrapText="1"/>
    </xf>
    <xf numFmtId="0" fontId="29" fillId="5" borderId="139" xfId="1" applyFont="1" applyFill="1" applyBorder="1" applyAlignment="1">
      <alignment horizontal="center" vertical="center" wrapText="1"/>
    </xf>
    <xf numFmtId="0" fontId="29" fillId="5" borderId="138" xfId="1" applyFont="1" applyFill="1" applyBorder="1" applyAlignment="1">
      <alignment horizontal="center" vertical="center" wrapText="1"/>
    </xf>
    <xf numFmtId="0" fontId="67" fillId="18" borderId="165" xfId="0" applyFont="1" applyFill="1" applyBorder="1" applyAlignment="1">
      <alignment horizontal="center" vertical="center"/>
    </xf>
    <xf numFmtId="0" fontId="22" fillId="9" borderId="114" xfId="0" applyFont="1" applyFill="1" applyBorder="1" applyAlignment="1">
      <alignment horizontal="center" vertical="center" wrapText="1"/>
    </xf>
    <xf numFmtId="0" fontId="22" fillId="9" borderId="113" xfId="0" applyFont="1" applyFill="1" applyBorder="1" applyAlignment="1">
      <alignment horizontal="center" vertical="center" wrapText="1"/>
    </xf>
    <xf numFmtId="0" fontId="58" fillId="0" borderId="115" xfId="0" applyFont="1" applyBorder="1" applyAlignment="1">
      <alignment horizontal="center" vertical="center"/>
    </xf>
    <xf numFmtId="0" fontId="59" fillId="0" borderId="0" xfId="0" applyFont="1" applyAlignment="1">
      <alignment horizontal="center" vertical="center" wrapText="1"/>
    </xf>
    <xf numFmtId="0" fontId="14" fillId="5" borderId="126" xfId="0" applyFont="1" applyFill="1" applyBorder="1" applyAlignment="1">
      <alignment horizontal="center" vertical="center"/>
    </xf>
    <xf numFmtId="0" fontId="22" fillId="9" borderId="117" xfId="0" applyFont="1" applyFill="1" applyBorder="1" applyAlignment="1">
      <alignment horizontal="center" vertical="center"/>
    </xf>
    <xf numFmtId="0" fontId="22" fillId="9" borderId="116" xfId="0" applyFont="1" applyFill="1" applyBorder="1" applyAlignment="1">
      <alignment horizontal="center" vertical="center"/>
    </xf>
    <xf numFmtId="0" fontId="14" fillId="6" borderId="125" xfId="0" applyFont="1" applyFill="1" applyBorder="1" applyAlignment="1">
      <alignment horizontal="center" vertical="center" wrapText="1"/>
    </xf>
    <xf numFmtId="0" fontId="14" fillId="6" borderId="124" xfId="0" applyFont="1" applyFill="1" applyBorder="1" applyAlignment="1">
      <alignment horizontal="center" vertical="center" wrapText="1"/>
    </xf>
    <xf numFmtId="164" fontId="22" fillId="9" borderId="119" xfId="0" applyNumberFormat="1" applyFont="1" applyFill="1" applyBorder="1" applyAlignment="1">
      <alignment horizontal="center" vertical="center" wrapText="1"/>
    </xf>
    <xf numFmtId="164" fontId="22" fillId="9" borderId="118" xfId="0" applyNumberFormat="1" applyFont="1" applyFill="1" applyBorder="1" applyAlignment="1">
      <alignment horizontal="center" vertical="center" wrapText="1"/>
    </xf>
    <xf numFmtId="0" fontId="60" fillId="5" borderId="123" xfId="0" applyFont="1" applyFill="1" applyBorder="1" applyAlignment="1">
      <alignment horizontal="center" vertical="center" wrapText="1"/>
    </xf>
    <xf numFmtId="0" fontId="60" fillId="5" borderId="122" xfId="0" applyFont="1" applyFill="1" applyBorder="1" applyAlignment="1">
      <alignment horizontal="center" vertical="center" wrapText="1"/>
    </xf>
    <xf numFmtId="0" fontId="22" fillId="8" borderId="121" xfId="0" applyFont="1" applyFill="1" applyBorder="1" applyAlignment="1">
      <alignment horizontal="center" vertical="center" wrapText="1"/>
    </xf>
    <xf numFmtId="0" fontId="22" fillId="8" borderId="120" xfId="0" applyFont="1" applyFill="1" applyBorder="1" applyAlignment="1">
      <alignment horizontal="center" vertical="center" wrapText="1"/>
    </xf>
    <xf numFmtId="0" fontId="16" fillId="14" borderId="142" xfId="0" applyFont="1" applyFill="1" applyBorder="1" applyAlignment="1">
      <alignment horizontal="center" vertical="center"/>
    </xf>
    <xf numFmtId="0" fontId="12" fillId="25" borderId="143" xfId="0" applyFont="1" applyFill="1" applyBorder="1" applyAlignment="1">
      <alignment horizontal="center" vertical="center"/>
    </xf>
    <xf numFmtId="0" fontId="64" fillId="27" borderId="146" xfId="0" applyFont="1" applyFill="1" applyBorder="1" applyAlignment="1">
      <alignment horizontal="center"/>
    </xf>
    <xf numFmtId="0" fontId="65" fillId="0" borderId="145" xfId="0" applyFont="1" applyBorder="1"/>
    <xf numFmtId="0" fontId="65" fillId="0" borderId="144" xfId="0" applyFont="1" applyBorder="1"/>
    <xf numFmtId="0" fontId="62" fillId="0" borderId="0" xfId="0" applyFont="1" applyAlignment="1">
      <alignment horizontal="left"/>
    </xf>
    <xf numFmtId="0" fontId="0" fillId="0" borderId="0" xfId="0"/>
    <xf numFmtId="0" fontId="63" fillId="0" borderId="0" xfId="0" applyFont="1" applyAlignment="1">
      <alignment horizontal="left"/>
    </xf>
    <xf numFmtId="0" fontId="63" fillId="27" borderId="0" xfId="0" applyFont="1" applyFill="1" applyAlignment="1">
      <alignment horizontal="center"/>
    </xf>
    <xf numFmtId="0" fontId="47" fillId="5" borderId="152" xfId="0" applyFont="1" applyFill="1" applyBorder="1" applyAlignment="1">
      <alignment horizontal="center" vertical="center" wrapText="1"/>
    </xf>
    <xf numFmtId="0" fontId="47" fillId="5" borderId="151" xfId="0" applyFont="1" applyFill="1" applyBorder="1" applyAlignment="1">
      <alignment horizontal="center" vertical="center" wrapText="1"/>
    </xf>
    <xf numFmtId="0" fontId="12" fillId="5" borderId="148" xfId="5" applyFont="1" applyFill="1" applyBorder="1" applyAlignment="1">
      <alignment horizontal="center" vertical="center" wrapText="1"/>
    </xf>
    <xf numFmtId="0" fontId="12" fillId="5" borderId="147" xfId="5" applyFont="1" applyFill="1" applyBorder="1" applyAlignment="1">
      <alignment horizontal="center" vertical="center" wrapText="1"/>
    </xf>
    <xf numFmtId="0" fontId="51" fillId="5" borderId="150" xfId="5" applyFont="1" applyFill="1" applyBorder="1" applyAlignment="1">
      <alignment horizontal="center" vertical="center" wrapText="1"/>
    </xf>
    <xf numFmtId="0" fontId="51" fillId="5" borderId="149" xfId="5" applyFont="1" applyFill="1" applyBorder="1" applyAlignment="1">
      <alignment horizontal="center" vertical="center" wrapText="1"/>
    </xf>
    <xf numFmtId="0" fontId="39" fillId="17" borderId="154" xfId="0" applyFont="1" applyFill="1" applyBorder="1" applyAlignment="1">
      <alignment horizontal="center" vertical="center"/>
    </xf>
    <xf numFmtId="0" fontId="39" fillId="17" borderId="153" xfId="0" applyFont="1" applyFill="1" applyBorder="1" applyAlignment="1">
      <alignment horizontal="center" vertical="center"/>
    </xf>
    <xf numFmtId="0" fontId="17" fillId="8" borderId="156" xfId="0" applyFont="1" applyFill="1" applyBorder="1" applyAlignment="1">
      <alignment horizontal="center" vertical="center"/>
    </xf>
    <xf numFmtId="0" fontId="17" fillId="8" borderId="155" xfId="0" applyFont="1" applyFill="1" applyBorder="1" applyAlignment="1">
      <alignment horizontal="center" vertical="center"/>
    </xf>
    <xf numFmtId="0" fontId="27" fillId="11" borderId="158" xfId="1" applyFont="1" applyFill="1" applyBorder="1" applyAlignment="1">
      <alignment horizontal="center" vertical="center" wrapText="1"/>
    </xf>
    <xf numFmtId="0" fontId="27" fillId="11" borderId="157" xfId="1" applyFont="1" applyFill="1" applyBorder="1" applyAlignment="1">
      <alignment horizontal="center" vertical="center" wrapText="1"/>
    </xf>
    <xf numFmtId="0" fontId="1" fillId="0" borderId="159" xfId="0" applyFont="1" applyBorder="1" applyAlignment="1">
      <alignment horizontal="center" vertical="center"/>
    </xf>
    <xf numFmtId="0" fontId="52" fillId="5" borderId="161" xfId="0" applyFont="1" applyFill="1" applyBorder="1" applyAlignment="1">
      <alignment horizontal="center" vertical="center" wrapText="1"/>
    </xf>
    <xf numFmtId="0" fontId="52" fillId="5" borderId="160" xfId="0" applyFont="1" applyFill="1" applyBorder="1" applyAlignment="1">
      <alignment horizontal="center" vertical="center" wrapText="1"/>
    </xf>
    <xf numFmtId="0" fontId="53" fillId="0" borderId="0" xfId="0" applyFont="1" applyAlignment="1">
      <alignment horizontal="center" vertical="center"/>
    </xf>
    <xf numFmtId="0" fontId="53" fillId="0" borderId="162" xfId="0" applyFont="1" applyBorder="1" applyAlignment="1">
      <alignment horizontal="center" vertical="center"/>
    </xf>
    <xf numFmtId="0" fontId="54" fillId="0" borderId="163" xfId="0" applyFont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55" fillId="0" borderId="164" xfId="0" applyFont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/>
    </xf>
    <xf numFmtId="0" fontId="69" fillId="29" borderId="165" xfId="0" applyFont="1" applyFill="1" applyBorder="1" applyAlignment="1">
      <alignment horizontal="center" vertical="center" wrapText="1"/>
    </xf>
    <xf numFmtId="0" fontId="45" fillId="2" borderId="0" xfId="0" applyFont="1" applyFill="1" applyAlignment="1">
      <alignment horizontal="center"/>
    </xf>
    <xf numFmtId="0" fontId="32" fillId="0" borderId="0" xfId="0" applyFont="1" applyAlignment="1">
      <alignment horizontal="center" vertical="center"/>
    </xf>
    <xf numFmtId="0" fontId="32" fillId="0" borderId="170" xfId="0" applyFont="1" applyBorder="1" applyAlignment="1">
      <alignment horizontal="left" vertical="center"/>
    </xf>
    <xf numFmtId="0" fontId="45" fillId="21" borderId="169" xfId="0" applyFont="1" applyFill="1" applyBorder="1" applyAlignment="1">
      <alignment horizontal="center" vertical="center"/>
    </xf>
    <xf numFmtId="0" fontId="45" fillId="21" borderId="171" xfId="0" applyFont="1" applyFill="1" applyBorder="1" applyAlignment="1">
      <alignment horizontal="center" vertical="center"/>
    </xf>
    <xf numFmtId="0" fontId="15" fillId="0" borderId="166" xfId="0" applyFont="1" applyBorder="1"/>
    <xf numFmtId="0" fontId="15" fillId="0" borderId="172" xfId="0" applyFont="1" applyBorder="1"/>
    <xf numFmtId="0" fontId="15" fillId="0" borderId="173" xfId="0" applyFont="1" applyBorder="1"/>
    <xf numFmtId="0" fontId="45" fillId="21" borderId="167" xfId="0" applyFont="1" applyFill="1" applyBorder="1" applyAlignment="1">
      <alignment horizontal="center" vertical="center"/>
    </xf>
    <xf numFmtId="0" fontId="15" fillId="0" borderId="168" xfId="0" applyFont="1" applyBorder="1"/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S1" activePane="topRight" state="frozen"/>
      <selection pane="topRight" activeCell="AK10" sqref="AK10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86">
        <v>2</v>
      </c>
      <c r="C1" s="15">
        <v>3</v>
      </c>
      <c r="D1" s="86">
        <v>4</v>
      </c>
      <c r="E1" s="15">
        <v>5</v>
      </c>
      <c r="F1" s="86">
        <v>6</v>
      </c>
      <c r="G1" s="15">
        <v>7</v>
      </c>
      <c r="H1" s="86">
        <v>8</v>
      </c>
      <c r="I1" s="15">
        <v>9</v>
      </c>
      <c r="J1" s="86">
        <v>10</v>
      </c>
      <c r="K1" s="15">
        <v>11</v>
      </c>
      <c r="L1" s="86">
        <v>12</v>
      </c>
      <c r="M1" s="15">
        <v>13</v>
      </c>
      <c r="N1" s="86">
        <v>14</v>
      </c>
      <c r="O1" s="15">
        <v>15</v>
      </c>
      <c r="P1" s="86">
        <v>16</v>
      </c>
      <c r="Q1" s="15">
        <v>17</v>
      </c>
      <c r="R1" s="86">
        <v>18</v>
      </c>
      <c r="S1" s="15">
        <v>19</v>
      </c>
      <c r="T1" s="86">
        <v>20</v>
      </c>
      <c r="U1" s="15">
        <v>21</v>
      </c>
      <c r="V1" s="86">
        <v>22</v>
      </c>
      <c r="W1" s="15">
        <v>23</v>
      </c>
      <c r="X1" s="86">
        <v>24</v>
      </c>
      <c r="Y1" s="15">
        <v>25</v>
      </c>
      <c r="Z1" s="86">
        <v>26</v>
      </c>
      <c r="AA1" s="15">
        <v>27</v>
      </c>
      <c r="AB1" s="86">
        <v>28</v>
      </c>
      <c r="AC1" s="15">
        <v>29</v>
      </c>
      <c r="AD1" s="86">
        <v>30</v>
      </c>
      <c r="AE1" s="15">
        <v>31</v>
      </c>
      <c r="AF1" s="86">
        <v>32</v>
      </c>
      <c r="AG1" s="15">
        <v>33</v>
      </c>
      <c r="AH1" s="86">
        <v>34</v>
      </c>
      <c r="AI1" s="15">
        <v>35</v>
      </c>
      <c r="AJ1" s="86">
        <v>36</v>
      </c>
      <c r="AK1" s="15">
        <v>37</v>
      </c>
      <c r="AL1" s="86">
        <v>38</v>
      </c>
      <c r="AM1" s="15">
        <v>39</v>
      </c>
      <c r="AN1" s="86">
        <v>40</v>
      </c>
      <c r="AO1" s="15">
        <v>41</v>
      </c>
      <c r="AP1" s="86">
        <v>42</v>
      </c>
      <c r="AQ1" s="15">
        <v>43</v>
      </c>
      <c r="AR1" s="86">
        <v>44</v>
      </c>
      <c r="AS1" s="15">
        <v>45</v>
      </c>
      <c r="AT1" s="86">
        <v>46</v>
      </c>
      <c r="AU1" s="15">
        <v>47</v>
      </c>
      <c r="AV1" s="86">
        <v>48</v>
      </c>
      <c r="AW1" s="15">
        <v>49</v>
      </c>
      <c r="AX1" s="86">
        <v>50</v>
      </c>
      <c r="AY1" s="15">
        <v>51</v>
      </c>
      <c r="AZ1" s="86">
        <v>52</v>
      </c>
      <c r="BA1" s="15">
        <v>53</v>
      </c>
      <c r="BB1" s="86">
        <v>54</v>
      </c>
      <c r="BC1" s="15">
        <v>55</v>
      </c>
      <c r="BD1" s="86">
        <v>56</v>
      </c>
      <c r="BE1" s="15">
        <v>57</v>
      </c>
      <c r="BF1" s="86">
        <v>58</v>
      </c>
      <c r="BG1" s="15">
        <v>59</v>
      </c>
    </row>
    <row r="2" spans="1:675" ht="23.75" customHeight="1" x14ac:dyDescent="0.45">
      <c r="A2" s="200" t="s">
        <v>34</v>
      </c>
      <c r="B2" s="86"/>
      <c r="C2" s="15"/>
      <c r="D2" s="211" t="s">
        <v>35</v>
      </c>
      <c r="E2" s="211"/>
      <c r="F2" s="211"/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206" t="s">
        <v>36</v>
      </c>
      <c r="U2" s="206"/>
      <c r="V2" s="206"/>
      <c r="W2" s="206"/>
      <c r="X2" s="206"/>
      <c r="Y2" s="206"/>
      <c r="Z2" s="206"/>
      <c r="AA2" s="206"/>
      <c r="AB2" s="206"/>
      <c r="AC2" s="206"/>
      <c r="AD2" s="206"/>
      <c r="AE2" s="206"/>
      <c r="AF2" s="206"/>
      <c r="AG2" s="206"/>
      <c r="AH2" s="206"/>
      <c r="AI2" s="206"/>
      <c r="AJ2" s="205" t="s">
        <v>37</v>
      </c>
      <c r="AK2" s="205"/>
      <c r="AL2" s="205"/>
      <c r="AM2" s="205"/>
      <c r="AN2" s="205"/>
      <c r="AO2" s="205"/>
      <c r="AP2" s="205"/>
      <c r="AQ2" s="205"/>
      <c r="AR2" s="205"/>
      <c r="AS2" s="205"/>
      <c r="AT2" s="205"/>
      <c r="AU2" s="205"/>
      <c r="AV2" s="204" t="s">
        <v>38</v>
      </c>
      <c r="AW2" s="204"/>
      <c r="AX2" s="204"/>
      <c r="AY2" s="204"/>
      <c r="AZ2" s="204"/>
      <c r="BA2" s="204"/>
      <c r="BB2" s="204"/>
      <c r="BC2" s="204"/>
      <c r="BD2" s="204"/>
      <c r="BE2" s="204"/>
      <c r="BF2" s="204"/>
      <c r="BG2" s="204"/>
    </row>
    <row r="3" spans="1:675" s="3" customFormat="1" ht="28.25" customHeight="1" x14ac:dyDescent="0.3">
      <c r="A3" s="200"/>
      <c r="B3" s="212" t="s">
        <v>39</v>
      </c>
      <c r="C3" s="87"/>
      <c r="D3" s="202" t="s">
        <v>3</v>
      </c>
      <c r="E3" s="203"/>
      <c r="F3" s="203"/>
      <c r="G3" s="203"/>
      <c r="H3" s="202" t="s">
        <v>40</v>
      </c>
      <c r="I3" s="203"/>
      <c r="J3" s="203"/>
      <c r="K3" s="203"/>
      <c r="L3" s="202" t="s">
        <v>41</v>
      </c>
      <c r="M3" s="203"/>
      <c r="N3" s="203"/>
      <c r="O3" s="203"/>
      <c r="P3" s="215" t="s">
        <v>42</v>
      </c>
      <c r="Q3" s="216"/>
      <c r="R3" s="216"/>
      <c r="S3" s="217"/>
      <c r="T3" s="202" t="s">
        <v>43</v>
      </c>
      <c r="U3" s="203"/>
      <c r="V3" s="203"/>
      <c r="W3" s="203"/>
      <c r="X3" s="202" t="s">
        <v>45</v>
      </c>
      <c r="Y3" s="203"/>
      <c r="Z3" s="203"/>
      <c r="AA3" s="203"/>
      <c r="AB3" s="202" t="s">
        <v>47</v>
      </c>
      <c r="AC3" s="203"/>
      <c r="AD3" s="203"/>
      <c r="AE3" s="203"/>
      <c r="AF3" s="202" t="s">
        <v>48</v>
      </c>
      <c r="AG3" s="203"/>
      <c r="AH3" s="203"/>
      <c r="AI3" s="203"/>
      <c r="AJ3" s="208" t="s">
        <v>51</v>
      </c>
      <c r="AK3" s="209"/>
      <c r="AL3" s="209"/>
      <c r="AM3" s="210"/>
      <c r="AN3" s="208" t="s">
        <v>14</v>
      </c>
      <c r="AO3" s="209"/>
      <c r="AP3" s="209"/>
      <c r="AQ3" s="210"/>
      <c r="AR3" s="208" t="s">
        <v>52</v>
      </c>
      <c r="AS3" s="209"/>
      <c r="AT3" s="209"/>
      <c r="AU3" s="210"/>
      <c r="AV3" s="203" t="s">
        <v>16</v>
      </c>
      <c r="AW3" s="203"/>
      <c r="AX3" s="203"/>
      <c r="AY3" s="203"/>
      <c r="AZ3" s="203" t="s">
        <v>54</v>
      </c>
      <c r="BA3" s="203"/>
      <c r="BB3" s="203"/>
      <c r="BC3" s="203"/>
      <c r="BD3" s="202" t="s">
        <v>55</v>
      </c>
      <c r="BE3" s="203"/>
      <c r="BF3" s="207"/>
      <c r="BG3" s="203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201"/>
      <c r="B4" s="212"/>
      <c r="C4" s="88"/>
      <c r="D4" s="8" t="s">
        <v>2</v>
      </c>
      <c r="E4" s="9" t="s">
        <v>58</v>
      </c>
      <c r="F4" s="9" t="s">
        <v>4</v>
      </c>
      <c r="G4" s="51" t="s">
        <v>59</v>
      </c>
      <c r="H4" s="8" t="s">
        <v>2</v>
      </c>
      <c r="I4" s="9" t="s">
        <v>58</v>
      </c>
      <c r="J4" s="31" t="s">
        <v>4</v>
      </c>
      <c r="K4" s="51" t="s">
        <v>59</v>
      </c>
      <c r="L4" s="8" t="s">
        <v>2</v>
      </c>
      <c r="M4" s="9" t="s">
        <v>58</v>
      </c>
      <c r="N4" s="9" t="s">
        <v>4</v>
      </c>
      <c r="O4" s="51" t="s">
        <v>59</v>
      </c>
      <c r="P4" s="8" t="s">
        <v>2</v>
      </c>
      <c r="Q4" s="9" t="s">
        <v>58</v>
      </c>
      <c r="R4" s="9" t="s">
        <v>4</v>
      </c>
      <c r="S4" s="51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51" t="s">
        <v>59</v>
      </c>
      <c r="AB4" s="22" t="s">
        <v>2</v>
      </c>
      <c r="AC4" s="9" t="s">
        <v>58</v>
      </c>
      <c r="AD4" s="31" t="s">
        <v>4</v>
      </c>
      <c r="AE4" s="51" t="s">
        <v>59</v>
      </c>
      <c r="AF4" s="22" t="s">
        <v>2</v>
      </c>
      <c r="AG4" s="9" t="s">
        <v>58</v>
      </c>
      <c r="AH4" s="31" t="s">
        <v>4</v>
      </c>
      <c r="AI4" s="51" t="s">
        <v>59</v>
      </c>
      <c r="AJ4" s="22" t="s">
        <v>2</v>
      </c>
      <c r="AK4" s="9" t="s">
        <v>58</v>
      </c>
      <c r="AL4" s="14" t="s">
        <v>4</v>
      </c>
      <c r="AM4" s="53" t="s">
        <v>60</v>
      </c>
      <c r="AN4" s="8" t="s">
        <v>2</v>
      </c>
      <c r="AO4" s="9" t="s">
        <v>58</v>
      </c>
      <c r="AP4" s="14" t="s">
        <v>4</v>
      </c>
      <c r="AQ4" s="66" t="s">
        <v>60</v>
      </c>
      <c r="AR4" s="11" t="s">
        <v>2</v>
      </c>
      <c r="AS4" s="9" t="s">
        <v>58</v>
      </c>
      <c r="AT4" s="14" t="s">
        <v>61</v>
      </c>
      <c r="AU4" s="53" t="s">
        <v>62</v>
      </c>
      <c r="AV4" s="8" t="s">
        <v>2</v>
      </c>
      <c r="AW4" s="9" t="s">
        <v>58</v>
      </c>
      <c r="AX4" s="14" t="s">
        <v>4</v>
      </c>
      <c r="AY4" s="53" t="s">
        <v>59</v>
      </c>
      <c r="AZ4" s="8" t="s">
        <v>2</v>
      </c>
      <c r="BA4" s="9" t="s">
        <v>58</v>
      </c>
      <c r="BB4" s="14" t="s">
        <v>4</v>
      </c>
      <c r="BC4" s="53" t="s">
        <v>59</v>
      </c>
      <c r="BD4" s="8" t="s">
        <v>2</v>
      </c>
      <c r="BE4" s="9" t="s">
        <v>58</v>
      </c>
      <c r="BF4" s="14" t="s">
        <v>4</v>
      </c>
      <c r="BG4" s="53" t="s">
        <v>59</v>
      </c>
    </row>
    <row r="5" spans="1:675" s="1" customFormat="1" ht="17.850000000000001" customHeight="1" x14ac:dyDescent="0.45">
      <c r="A5" s="109" t="s">
        <v>20</v>
      </c>
      <c r="B5" s="109" t="s">
        <v>66</v>
      </c>
      <c r="C5" s="122" t="s">
        <v>67</v>
      </c>
      <c r="D5" s="12">
        <f>VLOOKUP(C5,'Giao CT'!$D$6:$S$20,3,0)</f>
        <v>8</v>
      </c>
      <c r="E5" s="64">
        <f>VLOOKUP(C5,GBOC!$E$7:$DG$29,$B$20,0)</f>
        <v>7</v>
      </c>
      <c r="F5" s="14">
        <f t="shared" ref="F5:F18" si="0">IFERROR(E5/D5,0)</f>
        <v>0.875</v>
      </c>
      <c r="G5" s="52">
        <f t="shared" ref="G5:G18" si="1">D5-E5</f>
        <v>1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52">
        <f t="shared" ref="K5:K18" si="3">H5-I5</f>
        <v>-2</v>
      </c>
      <c r="L5" s="12">
        <f>VLOOKUP(C5,'Giao CT'!$D$6:$S$20,5,0)</f>
        <v>5</v>
      </c>
      <c r="M5" s="64">
        <f>VLOOKUP(C5,GBOC!$E$7:$DG$29,$B$22,0)</f>
        <v>5</v>
      </c>
      <c r="N5" s="14">
        <f t="shared" ref="N5:N18" si="4">IFERROR(M5/L5,0)</f>
        <v>1</v>
      </c>
      <c r="O5" s="52">
        <f t="shared" ref="O5:O18" si="5">L5-M5</f>
        <v>0</v>
      </c>
      <c r="P5" s="58">
        <f>VLOOKUP(C5,'Giao CT'!$D$6:$S$20,6,0)</f>
        <v>5</v>
      </c>
      <c r="Q5" s="64">
        <f>VLOOKUP(C5,GBOC!$E$7:$DG$29,$B$23,0)</f>
        <v>6</v>
      </c>
      <c r="R5" s="14">
        <f t="shared" ref="R5:R18" si="6">IFERROR(Q5/P5,0)</f>
        <v>1.2</v>
      </c>
      <c r="S5" s="52">
        <f t="shared" ref="S5:S18" si="7">P5-Q5</f>
        <v>-1</v>
      </c>
      <c r="T5" s="58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50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52">
        <f t="shared" ref="AA5:AA18" si="11">X5-Y5</f>
        <v>0</v>
      </c>
      <c r="AB5" s="57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52">
        <f t="shared" ref="AE5:AE18" si="13">AB5-AC5</f>
        <v>-3</v>
      </c>
      <c r="AF5" s="57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52">
        <f t="shared" ref="AI5:AI18" si="15">AF5-AG5</f>
        <v>-3</v>
      </c>
      <c r="AJ5" s="57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7">
        <f t="shared" ref="AM5:AM18" si="17">MAX(AL5,0)</f>
        <v>1.5</v>
      </c>
      <c r="AN5" s="57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7">
        <f t="shared" ref="AQ5:AQ18" si="19">MAX(AP5,0)</f>
        <v>1.4</v>
      </c>
      <c r="AR5" s="33">
        <v>0.97</v>
      </c>
      <c r="AS5" s="129">
        <f>(VLOOKUP(B5,cuoc!$B$7:$P$27,14,0))*1%</f>
        <v>0.80079999999999996</v>
      </c>
      <c r="AT5" s="14">
        <f t="shared" ref="AT5:AT18" si="20">IF(AS5&lt;94.5%,0,IF(AS5&lt;95.54%,50%,IF(AS5&lt;AR5,80%,100%+(30%*(AS5-AR5)/3.39%))))</f>
        <v>0</v>
      </c>
      <c r="AU5" s="54">
        <f t="shared" ref="AU5:AU18" si="21">AR5-AS5</f>
        <v>0.16920000000000002</v>
      </c>
      <c r="AV5" s="57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54">
        <f t="shared" ref="AY5:AY18" si="23">AV5-AW5</f>
        <v>2</v>
      </c>
      <c r="AZ5" s="57">
        <f>VLOOKUP(C5,'Giao CT'!$D$6:$S$20,15,0)</f>
        <v>1</v>
      </c>
      <c r="BA5" s="13">
        <f>VLOOKUP(C5,GBOC!$E$7:$DG$29,$B$32,0)</f>
        <v>1</v>
      </c>
      <c r="BB5" s="121">
        <f t="shared" ref="BB5:BB18" si="24">IFERROR(BA5/AZ5,1)</f>
        <v>1</v>
      </c>
      <c r="BC5" s="54">
        <f t="shared" ref="BC5:BC18" si="25">AZ5-BA5</f>
        <v>0</v>
      </c>
      <c r="BD5" s="57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54">
        <f t="shared" ref="BG5:BG18" si="27">BD5-BE5</f>
        <v>0</v>
      </c>
    </row>
    <row r="6" spans="1:675" ht="17.850000000000001" customHeight="1" x14ac:dyDescent="0.45">
      <c r="A6" s="109" t="s">
        <v>21</v>
      </c>
      <c r="B6" s="109" t="s">
        <v>71</v>
      </c>
      <c r="C6" s="122" t="s">
        <v>72</v>
      </c>
      <c r="D6" s="12">
        <f>VLOOKUP(C6,'Giao CT'!$D$6:$S$20,3,0)</f>
        <v>7</v>
      </c>
      <c r="E6" s="64">
        <f>VLOOKUP(C6,GBOC!$E$7:$DG$29,$B$20,0)</f>
        <v>13</v>
      </c>
      <c r="F6" s="14">
        <f t="shared" si="0"/>
        <v>1.8571428571428572</v>
      </c>
      <c r="G6" s="52">
        <f t="shared" si="1"/>
        <v>-6</v>
      </c>
      <c r="H6" s="12">
        <f>VLOOKUP(C6,'Giao CT'!$D$6:$S$20,4,0)</f>
        <v>4</v>
      </c>
      <c r="I6" s="13">
        <f>VLOOKUP(C6,GBOC!$E$7:$DG$29,$B$21,0)</f>
        <v>4</v>
      </c>
      <c r="J6" s="14">
        <f t="shared" si="2"/>
        <v>1</v>
      </c>
      <c r="K6" s="52">
        <f t="shared" si="3"/>
        <v>0</v>
      </c>
      <c r="L6" s="12">
        <f>VLOOKUP(C6,'Giao CT'!$D$6:$S$20,5,0)</f>
        <v>5</v>
      </c>
      <c r="M6" s="64">
        <f>VLOOKUP(C6,GBOC!$E$7:$DG$29,$B$22,0)</f>
        <v>5</v>
      </c>
      <c r="N6" s="14">
        <f t="shared" si="4"/>
        <v>1</v>
      </c>
      <c r="O6" s="52">
        <f t="shared" si="5"/>
        <v>0</v>
      </c>
      <c r="P6" s="58">
        <f>VLOOKUP(C6,'Giao CT'!$D$6:$S$20,6,0)</f>
        <v>4</v>
      </c>
      <c r="Q6" s="64">
        <f>VLOOKUP(C6,GBOC!$E$7:$DG$29,$B$23,0)</f>
        <v>7</v>
      </c>
      <c r="R6" s="14">
        <f t="shared" si="6"/>
        <v>1.75</v>
      </c>
      <c r="S6" s="52">
        <f t="shared" si="7"/>
        <v>-3</v>
      </c>
      <c r="T6" s="58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50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52">
        <f t="shared" si="11"/>
        <v>-5</v>
      </c>
      <c r="AB6" s="57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52">
        <f t="shared" si="13"/>
        <v>-41</v>
      </c>
      <c r="AF6" s="57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52">
        <f t="shared" si="15"/>
        <v>-2</v>
      </c>
      <c r="AJ6" s="57">
        <f>VLOOKUP(C6,'Giao CT'!$D$6:$S$20,11,0)</f>
        <v>4</v>
      </c>
      <c r="AK6" s="13">
        <v>9</v>
      </c>
      <c r="AL6" s="14">
        <f t="shared" si="16"/>
        <v>-0.25</v>
      </c>
      <c r="AM6" s="67">
        <f t="shared" si="17"/>
        <v>0</v>
      </c>
      <c r="AN6" s="57">
        <f>VLOOKUP(C6,'Giao CT'!$D$6:$S$20,12,0)</f>
        <v>5</v>
      </c>
      <c r="AO6" s="13">
        <f>VLOOKUP(C6,GBOC!$E$7:$DG$29,$B$29,0)</f>
        <v>2</v>
      </c>
      <c r="AP6" s="14">
        <f t="shared" si="18"/>
        <v>1.6</v>
      </c>
      <c r="AQ6" s="67">
        <f t="shared" si="19"/>
        <v>1.6</v>
      </c>
      <c r="AR6" s="33">
        <v>0.97</v>
      </c>
      <c r="AS6" s="129">
        <f>(VLOOKUP(B6,cuoc!$B$7:$P$27,14,0))*1%</f>
        <v>0.71310000000000007</v>
      </c>
      <c r="AT6" s="14">
        <f t="shared" si="20"/>
        <v>0</v>
      </c>
      <c r="AU6" s="54">
        <f t="shared" si="21"/>
        <v>0.25689999999999991</v>
      </c>
      <c r="AV6" s="57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54">
        <f t="shared" si="23"/>
        <v>3</v>
      </c>
      <c r="AZ6" s="57">
        <f>VLOOKUP(C6,'Giao CT'!$D$6:$S$20,15,0)</f>
        <v>1</v>
      </c>
      <c r="BA6" s="13">
        <f>VLOOKUP(C6,GBOC!$E$7:$DG$29,$B$32,0)</f>
        <v>0</v>
      </c>
      <c r="BB6" s="121">
        <f t="shared" si="24"/>
        <v>0</v>
      </c>
      <c r="BC6" s="54">
        <f t="shared" si="25"/>
        <v>1</v>
      </c>
      <c r="BD6" s="57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54">
        <f t="shared" si="27"/>
        <v>1</v>
      </c>
    </row>
    <row r="7" spans="1:675" s="23" customFormat="1" ht="17.850000000000001" customHeight="1" x14ac:dyDescent="0.45">
      <c r="A7" s="109" t="s">
        <v>22</v>
      </c>
      <c r="B7" s="109" t="s">
        <v>74</v>
      </c>
      <c r="C7" s="122" t="s">
        <v>75</v>
      </c>
      <c r="D7" s="12">
        <f>VLOOKUP(C7,'Giao CT'!$D$6:$S$20,3,0)</f>
        <v>7</v>
      </c>
      <c r="E7" s="64">
        <f>VLOOKUP(C7,GBOC!$E$7:$DG$29,$B$20,0)</f>
        <v>12</v>
      </c>
      <c r="F7" s="14">
        <f t="shared" si="0"/>
        <v>1.7142857142857142</v>
      </c>
      <c r="G7" s="52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52">
        <f t="shared" si="3"/>
        <v>0</v>
      </c>
      <c r="L7" s="12">
        <f>VLOOKUP(C7,'Giao CT'!$D$6:$S$20,5,0)</f>
        <v>5</v>
      </c>
      <c r="M7" s="64">
        <f>VLOOKUP(C7,GBOC!$E$7:$DG$29,$B$22,0)</f>
        <v>5</v>
      </c>
      <c r="N7" s="14">
        <f t="shared" si="4"/>
        <v>1</v>
      </c>
      <c r="O7" s="52">
        <f t="shared" si="5"/>
        <v>0</v>
      </c>
      <c r="P7" s="58">
        <f>VLOOKUP(C7,'Giao CT'!$D$6:$S$20,6,0)</f>
        <v>4</v>
      </c>
      <c r="Q7" s="64">
        <f>VLOOKUP(C7,GBOC!$E$7:$DG$29,$B$23,0)</f>
        <v>3</v>
      </c>
      <c r="R7" s="14">
        <f t="shared" si="6"/>
        <v>0.75</v>
      </c>
      <c r="S7" s="52">
        <f t="shared" si="7"/>
        <v>1</v>
      </c>
      <c r="T7" s="58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50">
        <f t="shared" si="9"/>
        <v>-2</v>
      </c>
      <c r="X7" s="12">
        <f>VLOOKUP(C7,'Giao CT'!$D$6:$S$20,8,0)</f>
        <v>1</v>
      </c>
      <c r="Y7" s="13">
        <f>VLOOKUP(C7,GBOC!$E$7:$DG$29,$B$25,0)</f>
        <v>2</v>
      </c>
      <c r="Z7" s="14">
        <f t="shared" si="10"/>
        <v>2</v>
      </c>
      <c r="AA7" s="52">
        <f t="shared" si="11"/>
        <v>-1</v>
      </c>
      <c r="AB7" s="57">
        <f>VLOOKUP(C7,'Giao CT'!$D$6:$S$20,9,0)</f>
        <v>30</v>
      </c>
      <c r="AC7" s="13">
        <f>VLOOKUP(C7,GBOC!$E$7:$DG$29,$B$26,0)</f>
        <v>27</v>
      </c>
      <c r="AD7" s="14">
        <f t="shared" si="12"/>
        <v>0.9</v>
      </c>
      <c r="AE7" s="52">
        <f t="shared" si="13"/>
        <v>3</v>
      </c>
      <c r="AF7" s="57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52">
        <f t="shared" si="15"/>
        <v>-4</v>
      </c>
      <c r="AJ7" s="57">
        <f>VLOOKUP(C7,'Giao CT'!$D$6:$S$20,11,0)</f>
        <v>4</v>
      </c>
      <c r="AK7" s="13">
        <v>0</v>
      </c>
      <c r="AL7" s="14">
        <f t="shared" si="16"/>
        <v>2</v>
      </c>
      <c r="AM7" s="67">
        <f t="shared" si="17"/>
        <v>2</v>
      </c>
      <c r="AN7" s="57">
        <f>VLOOKUP(C7,'Giao CT'!$D$6:$S$20,12,0)</f>
        <v>5</v>
      </c>
      <c r="AO7" s="13">
        <f>VLOOKUP(C7,GBOC!$E$7:$DG$29,$B$29,0)</f>
        <v>0</v>
      </c>
      <c r="AP7" s="14">
        <f t="shared" si="18"/>
        <v>2</v>
      </c>
      <c r="AQ7" s="67">
        <f t="shared" si="19"/>
        <v>2</v>
      </c>
      <c r="AR7" s="33">
        <v>0.97</v>
      </c>
      <c r="AS7" s="129">
        <f>(VLOOKUP(B7,cuoc!$B$7:$P$27,14,0))*1%</f>
        <v>0.76590000000000003</v>
      </c>
      <c r="AT7" s="14">
        <f t="shared" si="20"/>
        <v>0</v>
      </c>
      <c r="AU7" s="54">
        <f t="shared" si="21"/>
        <v>0.20409999999999995</v>
      </c>
      <c r="AV7" s="57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54">
        <f t="shared" si="23"/>
        <v>2</v>
      </c>
      <c r="AZ7" s="57">
        <f>VLOOKUP(C7,'Giao CT'!$D$6:$S$20,15,0)</f>
        <v>1</v>
      </c>
      <c r="BA7" s="13">
        <f>VLOOKUP(C7,GBOC!$E$7:$DG$29,$B$32,0)</f>
        <v>0</v>
      </c>
      <c r="BB7" s="121">
        <f t="shared" si="24"/>
        <v>0</v>
      </c>
      <c r="BC7" s="54">
        <f t="shared" si="25"/>
        <v>1</v>
      </c>
      <c r="BD7" s="57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54">
        <f t="shared" si="27"/>
        <v>0</v>
      </c>
    </row>
    <row r="8" spans="1:675" ht="17.850000000000001" customHeight="1" x14ac:dyDescent="0.45">
      <c r="A8" s="109" t="s">
        <v>24</v>
      </c>
      <c r="B8" s="106" t="s">
        <v>77</v>
      </c>
      <c r="C8" s="122" t="s">
        <v>78</v>
      </c>
      <c r="D8" s="12">
        <f>VLOOKUP(C8,'Giao CT'!$D$6:$S$20,3,0)</f>
        <v>7</v>
      </c>
      <c r="E8" s="64">
        <f>VLOOKUP(C8,GBOC!$E$7:$DG$29,$B$20,0)</f>
        <v>5</v>
      </c>
      <c r="F8" s="14">
        <f t="shared" si="0"/>
        <v>0.7142857142857143</v>
      </c>
      <c r="G8" s="52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52">
        <f t="shared" si="3"/>
        <v>-1</v>
      </c>
      <c r="L8" s="12">
        <f>VLOOKUP(C8,'Giao CT'!$D$6:$S$20,5,0)</f>
        <v>4</v>
      </c>
      <c r="M8" s="64">
        <f>VLOOKUP(C8,GBOC!$E$7:$DG$29,$B$22,0)</f>
        <v>2</v>
      </c>
      <c r="N8" s="14">
        <f t="shared" si="4"/>
        <v>0.5</v>
      </c>
      <c r="O8" s="52">
        <f t="shared" si="5"/>
        <v>2</v>
      </c>
      <c r="P8" s="58">
        <f>VLOOKUP(C8,'Giao CT'!$D$6:$S$20,6,0)</f>
        <v>4</v>
      </c>
      <c r="Q8" s="64">
        <f>VLOOKUP(C8,GBOC!$E$7:$DG$29,$B$23,0)</f>
        <v>3</v>
      </c>
      <c r="R8" s="14">
        <f t="shared" si="6"/>
        <v>0.75</v>
      </c>
      <c r="S8" s="52">
        <f t="shared" si="7"/>
        <v>1</v>
      </c>
      <c r="T8" s="58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50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52">
        <f t="shared" si="11"/>
        <v>1</v>
      </c>
      <c r="AB8" s="57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52">
        <f t="shared" si="13"/>
        <v>21</v>
      </c>
      <c r="AF8" s="57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52">
        <f t="shared" si="15"/>
        <v>8</v>
      </c>
      <c r="AJ8" s="57">
        <f>VLOOKUP(C8,'Giao CT'!$D$6:$S$20,11,0)</f>
        <v>4</v>
      </c>
      <c r="AK8" s="13">
        <v>5</v>
      </c>
      <c r="AL8" s="14">
        <f t="shared" si="16"/>
        <v>0.75</v>
      </c>
      <c r="AM8" s="67">
        <f t="shared" si="17"/>
        <v>0.75</v>
      </c>
      <c r="AN8" s="57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7">
        <f t="shared" si="19"/>
        <v>1.6666666666666667</v>
      </c>
      <c r="AR8" s="33">
        <v>0.97</v>
      </c>
      <c r="AS8" s="129">
        <f>(VLOOKUP(B8,cuoc!$B$7:$P$27,14,0))*1%</f>
        <v>0.64260000000000006</v>
      </c>
      <c r="AT8" s="14">
        <f t="shared" si="20"/>
        <v>0</v>
      </c>
      <c r="AU8" s="54">
        <f t="shared" si="21"/>
        <v>0.32739999999999991</v>
      </c>
      <c r="AV8" s="57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54">
        <f t="shared" si="23"/>
        <v>1</v>
      </c>
      <c r="AZ8" s="57">
        <f>VLOOKUP(C8,'Giao CT'!$D$6:$S$20,15,0)</f>
        <v>1</v>
      </c>
      <c r="BA8" s="13">
        <f>VLOOKUP(C8,GBOC!$E$7:$DG$29,$B$32,0)</f>
        <v>0</v>
      </c>
      <c r="BB8" s="121">
        <f t="shared" si="24"/>
        <v>0</v>
      </c>
      <c r="BC8" s="54">
        <f t="shared" si="25"/>
        <v>1</v>
      </c>
      <c r="BD8" s="57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54">
        <f t="shared" si="27"/>
        <v>0</v>
      </c>
    </row>
    <row r="9" spans="1:675" ht="17.850000000000001" customHeight="1" x14ac:dyDescent="0.45">
      <c r="A9" s="109" t="s">
        <v>25</v>
      </c>
      <c r="B9" s="106" t="s">
        <v>80</v>
      </c>
      <c r="C9" s="122" t="s">
        <v>81</v>
      </c>
      <c r="D9" s="12">
        <f>VLOOKUP(C9,'Giao CT'!$D$6:$S$20,3,0)</f>
        <v>7</v>
      </c>
      <c r="E9" s="64">
        <f>VLOOKUP(C9,GBOC!$E$7:$DG$29,$B$20,0)</f>
        <v>8</v>
      </c>
      <c r="F9" s="14">
        <f t="shared" si="0"/>
        <v>1.1428571428571428</v>
      </c>
      <c r="G9" s="52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52">
        <f t="shared" si="3"/>
        <v>0</v>
      </c>
      <c r="L9" s="12">
        <f>VLOOKUP(C9,'Giao CT'!$D$6:$S$20,5,0)</f>
        <v>5</v>
      </c>
      <c r="M9" s="64">
        <f>VLOOKUP(C9,GBOC!$E$7:$DG$29,$B$22,0)</f>
        <v>4</v>
      </c>
      <c r="N9" s="14">
        <f t="shared" si="4"/>
        <v>0.8</v>
      </c>
      <c r="O9" s="52">
        <f t="shared" si="5"/>
        <v>1</v>
      </c>
      <c r="P9" s="58">
        <f>VLOOKUP(C9,'Giao CT'!$D$6:$S$20,6,0)</f>
        <v>4</v>
      </c>
      <c r="Q9" s="64">
        <f>VLOOKUP(C9,GBOC!$E$7:$DG$29,$B$23,0)</f>
        <v>3</v>
      </c>
      <c r="R9" s="14">
        <f t="shared" si="6"/>
        <v>0.75</v>
      </c>
      <c r="S9" s="52">
        <f t="shared" si="7"/>
        <v>1</v>
      </c>
      <c r="T9" s="58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50">
        <f t="shared" si="9"/>
        <v>1</v>
      </c>
      <c r="X9" s="12">
        <f>VLOOKUP(C9,'Giao CT'!$D$6:$S$20,8,0)</f>
        <v>1</v>
      </c>
      <c r="Y9" s="13">
        <f>VLOOKUP(C9,GBOC!$E$7:$DG$29,$B$25,0)</f>
        <v>9</v>
      </c>
      <c r="Z9" s="14">
        <f t="shared" si="10"/>
        <v>9</v>
      </c>
      <c r="AA9" s="52">
        <f t="shared" si="11"/>
        <v>-8</v>
      </c>
      <c r="AB9" s="57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52">
        <f t="shared" si="13"/>
        <v>-45</v>
      </c>
      <c r="AF9" s="57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52">
        <f t="shared" si="15"/>
        <v>1</v>
      </c>
      <c r="AJ9" s="57">
        <f>VLOOKUP(C9,'Giao CT'!$D$6:$S$20,11,0)</f>
        <v>3</v>
      </c>
      <c r="AK9" s="13">
        <v>5</v>
      </c>
      <c r="AL9" s="14">
        <f t="shared" si="16"/>
        <v>0.33333333333333326</v>
      </c>
      <c r="AM9" s="67">
        <f t="shared" si="17"/>
        <v>0.33333333333333326</v>
      </c>
      <c r="AN9" s="57">
        <f>VLOOKUP(C9,'Giao CT'!$D$6:$S$20,12,0)</f>
        <v>4</v>
      </c>
      <c r="AO9" s="13">
        <f>VLOOKUP(C9,GBOC!$E$7:$DG$29,$B$29,0)</f>
        <v>2</v>
      </c>
      <c r="AP9" s="14">
        <f t="shared" si="18"/>
        <v>1.5</v>
      </c>
      <c r="AQ9" s="67">
        <f t="shared" si="19"/>
        <v>1.5</v>
      </c>
      <c r="AR9" s="33">
        <v>0.97</v>
      </c>
      <c r="AS9" s="129">
        <f>(VLOOKUP(B9,cuoc!$B$7:$P$27,14,0))*1%</f>
        <v>0.63890000000000002</v>
      </c>
      <c r="AT9" s="14">
        <f t="shared" si="20"/>
        <v>0</v>
      </c>
      <c r="AU9" s="54">
        <f t="shared" si="21"/>
        <v>0.33109999999999995</v>
      </c>
      <c r="AV9" s="57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54">
        <f t="shared" si="23"/>
        <v>2</v>
      </c>
      <c r="AZ9" s="57">
        <f>VLOOKUP(C9,'Giao CT'!$D$6:$S$20,15,0)</f>
        <v>1</v>
      </c>
      <c r="BA9" s="13">
        <f>VLOOKUP(C9,GBOC!$E$7:$DG$29,$B$32,0)</f>
        <v>1</v>
      </c>
      <c r="BB9" s="121">
        <f t="shared" si="24"/>
        <v>1</v>
      </c>
      <c r="BC9" s="54">
        <f t="shared" si="25"/>
        <v>0</v>
      </c>
      <c r="BD9" s="57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54">
        <f t="shared" si="27"/>
        <v>0</v>
      </c>
    </row>
    <row r="10" spans="1:675" ht="17.850000000000001" customHeight="1" x14ac:dyDescent="0.45">
      <c r="A10" s="109" t="s">
        <v>26</v>
      </c>
      <c r="B10" s="106" t="s">
        <v>83</v>
      </c>
      <c r="C10" s="122" t="s">
        <v>84</v>
      </c>
      <c r="D10" s="12">
        <f>VLOOKUP(C10,'Giao CT'!$D$6:$S$20,3,0)</f>
        <v>7</v>
      </c>
      <c r="E10" s="64">
        <f>VLOOKUP(C10,GBOC!$E$7:$DG$29,$B$20,0)</f>
        <v>5</v>
      </c>
      <c r="F10" s="14">
        <f t="shared" si="0"/>
        <v>0.7142857142857143</v>
      </c>
      <c r="G10" s="52">
        <f t="shared" si="1"/>
        <v>2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52">
        <f t="shared" si="3"/>
        <v>1</v>
      </c>
      <c r="L10" s="12">
        <f>VLOOKUP(C10,'Giao CT'!$D$6:$S$20,5,0)</f>
        <v>4</v>
      </c>
      <c r="M10" s="64">
        <f>VLOOKUP(C10,GBOC!$E$7:$DG$29,$B$22,0)</f>
        <v>1</v>
      </c>
      <c r="N10" s="14">
        <f t="shared" si="4"/>
        <v>0.25</v>
      </c>
      <c r="O10" s="52">
        <f t="shared" si="5"/>
        <v>3</v>
      </c>
      <c r="P10" s="58">
        <f>VLOOKUP(C10,'Giao CT'!$D$6:$S$20,6,0)</f>
        <v>4</v>
      </c>
      <c r="Q10" s="64">
        <f>VLOOKUP(C10,GBOC!$E$7:$DG$29,$B$23,0)</f>
        <v>2</v>
      </c>
      <c r="R10" s="14">
        <f t="shared" si="6"/>
        <v>0.5</v>
      </c>
      <c r="S10" s="52">
        <f t="shared" si="7"/>
        <v>2</v>
      </c>
      <c r="T10" s="58">
        <f>VLOOKUP(C10,'Giao CT'!$D$6:$S$20,7,0)</f>
        <v>3</v>
      </c>
      <c r="U10" s="13">
        <f>VLOOKUP(C10,GBOC!$E$7:$DG$29,$B$24,0)</f>
        <v>3</v>
      </c>
      <c r="V10" s="14">
        <f t="shared" si="8"/>
        <v>1</v>
      </c>
      <c r="W10" s="50">
        <f t="shared" si="9"/>
        <v>0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52">
        <f t="shared" si="11"/>
        <v>-2</v>
      </c>
      <c r="AB10" s="57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52">
        <f t="shared" si="13"/>
        <v>4</v>
      </c>
      <c r="AF10" s="57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52">
        <f t="shared" si="15"/>
        <v>5</v>
      </c>
      <c r="AJ10" s="57">
        <f>VLOOKUP(C10,'Giao CT'!$D$6:$S$20,11,0)</f>
        <v>4</v>
      </c>
      <c r="AK10" s="13">
        <v>3</v>
      </c>
      <c r="AL10" s="14">
        <f t="shared" si="16"/>
        <v>1.25</v>
      </c>
      <c r="AM10" s="67">
        <f t="shared" si="17"/>
        <v>1.25</v>
      </c>
      <c r="AN10" s="57">
        <f>VLOOKUP(C10,'Giao CT'!$D$6:$S$20,12,0)</f>
        <v>4</v>
      </c>
      <c r="AO10" s="13">
        <f>VLOOKUP(C10,GBOC!$E$7:$DG$29,$B$29,0)</f>
        <v>0</v>
      </c>
      <c r="AP10" s="14">
        <f t="shared" si="18"/>
        <v>2</v>
      </c>
      <c r="AQ10" s="67">
        <f t="shared" si="19"/>
        <v>2</v>
      </c>
      <c r="AR10" s="33">
        <v>0.97</v>
      </c>
      <c r="AS10" s="129">
        <f>(VLOOKUP(B10,cuoc!$B$7:$P$27,14,0))*1%</f>
        <v>0.7340000000000001</v>
      </c>
      <c r="AT10" s="14">
        <f t="shared" si="20"/>
        <v>0</v>
      </c>
      <c r="AU10" s="54">
        <f t="shared" si="21"/>
        <v>0.23599999999999988</v>
      </c>
      <c r="AV10" s="57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54">
        <f t="shared" si="23"/>
        <v>1</v>
      </c>
      <c r="AZ10" s="57">
        <f>VLOOKUP(C10,'Giao CT'!$D$6:$S$20,15,0)</f>
        <v>1</v>
      </c>
      <c r="BA10" s="13">
        <f>VLOOKUP(C10,GBOC!$E$7:$DG$29,$B$32,0)</f>
        <v>0</v>
      </c>
      <c r="BB10" s="121">
        <f t="shared" si="24"/>
        <v>0</v>
      </c>
      <c r="BC10" s="54">
        <f t="shared" si="25"/>
        <v>1</v>
      </c>
      <c r="BD10" s="57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54">
        <f t="shared" si="27"/>
        <v>0</v>
      </c>
    </row>
    <row r="11" spans="1:675" s="18" customFormat="1" ht="20" customHeight="1" x14ac:dyDescent="0.45">
      <c r="A11" s="109" t="s">
        <v>27</v>
      </c>
      <c r="B11" s="106" t="s">
        <v>86</v>
      </c>
      <c r="C11" s="122" t="s">
        <v>87</v>
      </c>
      <c r="D11" s="12">
        <f>VLOOKUP(C11,'Giao CT'!$D$6:$S$20,3,0)</f>
        <v>8</v>
      </c>
      <c r="E11" s="64">
        <f>VLOOKUP(C11,GBOC!$E$7:$DG$29,$B$20,0)</f>
        <v>8</v>
      </c>
      <c r="F11" s="14">
        <f t="shared" si="0"/>
        <v>1</v>
      </c>
      <c r="G11" s="52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52">
        <f t="shared" si="3"/>
        <v>1</v>
      </c>
      <c r="L11" s="12">
        <f>VLOOKUP(C11,'Giao CT'!$D$6:$S$20,5,0)</f>
        <v>5</v>
      </c>
      <c r="M11" s="64">
        <f>VLOOKUP(C11,GBOC!$E$7:$DG$29,$B$22,0)</f>
        <v>4</v>
      </c>
      <c r="N11" s="14">
        <f t="shared" si="4"/>
        <v>0.8</v>
      </c>
      <c r="O11" s="52">
        <f t="shared" si="5"/>
        <v>1</v>
      </c>
      <c r="P11" s="58">
        <f>VLOOKUP(C11,'Giao CT'!$D$6:$S$20,6,0)</f>
        <v>5</v>
      </c>
      <c r="Q11" s="64">
        <f>VLOOKUP(C11,GBOC!$E$7:$DG$29,$B$23,0)</f>
        <v>1</v>
      </c>
      <c r="R11" s="14">
        <f t="shared" si="6"/>
        <v>0.2</v>
      </c>
      <c r="S11" s="52">
        <f t="shared" si="7"/>
        <v>4</v>
      </c>
      <c r="T11" s="58">
        <f>VLOOKUP(C11,'Giao CT'!$D$6:$S$20,7,0)</f>
        <v>4</v>
      </c>
      <c r="U11" s="13">
        <f>VLOOKUP(C11,GBOC!$E$7:$DG$29,$B$24,0)</f>
        <v>3</v>
      </c>
      <c r="V11" s="14">
        <f t="shared" si="8"/>
        <v>0.75</v>
      </c>
      <c r="W11" s="50">
        <f t="shared" si="9"/>
        <v>1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52">
        <f t="shared" si="11"/>
        <v>1</v>
      </c>
      <c r="AB11" s="57">
        <f>VLOOKUP(C11,'Giao CT'!$D$6:$S$20,9,0)</f>
        <v>50</v>
      </c>
      <c r="AC11" s="13">
        <f>VLOOKUP(C11,GBOC!$E$7:$DG$29,$B$26,0)</f>
        <v>69</v>
      </c>
      <c r="AD11" s="14">
        <f t="shared" si="12"/>
        <v>1.38</v>
      </c>
      <c r="AE11" s="52">
        <f t="shared" si="13"/>
        <v>-19</v>
      </c>
      <c r="AF11" s="57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52">
        <f t="shared" si="15"/>
        <v>-2</v>
      </c>
      <c r="AJ11" s="57">
        <f>VLOOKUP(C11,'Giao CT'!$D$6:$S$20,11,0)</f>
        <v>4</v>
      </c>
      <c r="AK11" s="13">
        <v>19</v>
      </c>
      <c r="AL11" s="14">
        <f t="shared" si="16"/>
        <v>-2.75</v>
      </c>
      <c r="AM11" s="67">
        <f t="shared" si="17"/>
        <v>0</v>
      </c>
      <c r="AN11" s="57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7">
        <f t="shared" si="19"/>
        <v>1.6</v>
      </c>
      <c r="AR11" s="33">
        <v>0.97</v>
      </c>
      <c r="AS11" s="129">
        <f>(VLOOKUP(B11,cuoc!$B$7:$P$27,14,0))*1%</f>
        <v>0.71579999999999999</v>
      </c>
      <c r="AT11" s="14">
        <f t="shared" si="20"/>
        <v>0</v>
      </c>
      <c r="AU11" s="54">
        <f t="shared" si="21"/>
        <v>0.25419999999999998</v>
      </c>
      <c r="AV11" s="57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54">
        <f t="shared" si="23"/>
        <v>2</v>
      </c>
      <c r="AZ11" s="57">
        <f>VLOOKUP(C11,'Giao CT'!$D$6:$S$20,15,0)</f>
        <v>1</v>
      </c>
      <c r="BA11" s="13">
        <f>VLOOKUP(C11,GBOC!$E$7:$DG$29,$B$32,0)</f>
        <v>0</v>
      </c>
      <c r="BB11" s="121">
        <f t="shared" si="24"/>
        <v>0</v>
      </c>
      <c r="BC11" s="54">
        <f t="shared" si="25"/>
        <v>1</v>
      </c>
      <c r="BD11" s="57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54">
        <f t="shared" si="27"/>
        <v>1</v>
      </c>
    </row>
    <row r="12" spans="1:675" ht="17.649999999999999" customHeight="1" x14ac:dyDescent="0.45">
      <c r="A12" s="109" t="s">
        <v>28</v>
      </c>
      <c r="B12" s="111" t="s">
        <v>98</v>
      </c>
      <c r="C12" s="131" t="s">
        <v>99</v>
      </c>
      <c r="D12" s="12">
        <f>VLOOKUP(C12,'Giao CT'!$D$6:$S$20,3,0)</f>
        <v>8</v>
      </c>
      <c r="E12" s="64">
        <f>VLOOKUP(C12,GBOC!$E$7:$DG$29,$B$20,0)</f>
        <v>10</v>
      </c>
      <c r="F12" s="14">
        <f t="shared" si="0"/>
        <v>1.25</v>
      </c>
      <c r="G12" s="52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52">
        <f t="shared" si="3"/>
        <v>1</v>
      </c>
      <c r="L12" s="12">
        <f>VLOOKUP(C12,'Giao CT'!$D$6:$S$20,5,0)</f>
        <v>5</v>
      </c>
      <c r="M12" s="64">
        <f>VLOOKUP(C12,GBOC!$E$7:$DG$29,$B$22,0)</f>
        <v>3</v>
      </c>
      <c r="N12" s="14">
        <f t="shared" si="4"/>
        <v>0.6</v>
      </c>
      <c r="O12" s="52">
        <f t="shared" si="5"/>
        <v>2</v>
      </c>
      <c r="P12" s="58">
        <f>VLOOKUP(C12,'Giao CT'!$D$6:$S$20,6,0)</f>
        <v>5</v>
      </c>
      <c r="Q12" s="64">
        <f>VLOOKUP(C12,GBOC!$E$7:$DG$29,$B$23,0)</f>
        <v>6</v>
      </c>
      <c r="R12" s="14">
        <f t="shared" si="6"/>
        <v>1.2</v>
      </c>
      <c r="S12" s="52">
        <f t="shared" si="7"/>
        <v>-1</v>
      </c>
      <c r="T12" s="58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50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52">
        <f t="shared" si="11"/>
        <v>0</v>
      </c>
      <c r="AB12" s="57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52">
        <f t="shared" si="13"/>
        <v>-30</v>
      </c>
      <c r="AF12" s="57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52">
        <f t="shared" si="15"/>
        <v>-2</v>
      </c>
      <c r="AJ12" s="57">
        <f>VLOOKUP(C12,'Giao CT'!$D$6:$S$20,11,0)</f>
        <v>4</v>
      </c>
      <c r="AK12" s="13">
        <v>4</v>
      </c>
      <c r="AL12" s="14">
        <f t="shared" si="16"/>
        <v>1</v>
      </c>
      <c r="AM12" s="67">
        <f t="shared" si="17"/>
        <v>1</v>
      </c>
      <c r="AN12" s="57">
        <f>VLOOKUP(C12,'Giao CT'!$D$6:$S$20,12,0)</f>
        <v>5</v>
      </c>
      <c r="AO12" s="13">
        <f>VLOOKUP(C12,GBOC!$E$7:$DG$29,$B$29,0)</f>
        <v>0</v>
      </c>
      <c r="AP12" s="14">
        <f t="shared" si="18"/>
        <v>2</v>
      </c>
      <c r="AQ12" s="67">
        <f t="shared" si="19"/>
        <v>2</v>
      </c>
      <c r="AR12" s="33">
        <v>0.97</v>
      </c>
      <c r="AS12" s="129">
        <f>(VLOOKUP(B12,cuoc!$B$7:$P$27,14,0))*1%</f>
        <v>0.69159999999999999</v>
      </c>
      <c r="AT12" s="14">
        <f t="shared" si="20"/>
        <v>0</v>
      </c>
      <c r="AU12" s="54">
        <f t="shared" si="21"/>
        <v>0.27839999999999998</v>
      </c>
      <c r="AV12" s="57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54">
        <f t="shared" si="23"/>
        <v>3</v>
      </c>
      <c r="AZ12" s="57">
        <f>VLOOKUP(C12,'Giao CT'!$D$6:$S$20,15,0)</f>
        <v>1</v>
      </c>
      <c r="BA12" s="13">
        <f>VLOOKUP(C12,GBOC!$E$7:$DG$29,$B$32,0)</f>
        <v>1</v>
      </c>
      <c r="BB12" s="121">
        <f t="shared" si="24"/>
        <v>1</v>
      </c>
      <c r="BC12" s="54">
        <f t="shared" si="25"/>
        <v>0</v>
      </c>
      <c r="BD12" s="57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54">
        <f t="shared" si="27"/>
        <v>0</v>
      </c>
    </row>
    <row r="13" spans="1:675" ht="17.850000000000001" customHeight="1" x14ac:dyDescent="0.45">
      <c r="A13" s="109" t="s">
        <v>23</v>
      </c>
      <c r="B13" s="111" t="s">
        <v>106</v>
      </c>
      <c r="C13" s="122" t="s">
        <v>107</v>
      </c>
      <c r="D13" s="12">
        <f>VLOOKUP(C13,'Giao CT'!$D$6:$S$20,3,0)</f>
        <v>7</v>
      </c>
      <c r="E13" s="64">
        <f>VLOOKUP(C13,GBOC!$E$7:$DG$29,$B$20,0)</f>
        <v>6</v>
      </c>
      <c r="F13" s="14">
        <f t="shared" si="0"/>
        <v>0.8571428571428571</v>
      </c>
      <c r="G13" s="52">
        <f t="shared" si="1"/>
        <v>1</v>
      </c>
      <c r="H13" s="12">
        <f>VLOOKUP(C13,'Giao CT'!$D$6:$S$20,4,0)</f>
        <v>4</v>
      </c>
      <c r="I13" s="13">
        <f>VLOOKUP(C13,GBOC!$E$7:$DG$29,$B$21,0)</f>
        <v>9</v>
      </c>
      <c r="J13" s="14">
        <f t="shared" si="2"/>
        <v>2.25</v>
      </c>
      <c r="K13" s="52">
        <f t="shared" si="3"/>
        <v>-5</v>
      </c>
      <c r="L13" s="12">
        <f>VLOOKUP(C13,'Giao CT'!$D$6:$S$20,5,0)</f>
        <v>5</v>
      </c>
      <c r="M13" s="64">
        <f>VLOOKUP(C13,GBOC!$E$7:$DG$29,$B$22,0)</f>
        <v>3</v>
      </c>
      <c r="N13" s="14">
        <f t="shared" si="4"/>
        <v>0.6</v>
      </c>
      <c r="O13" s="52">
        <f t="shared" si="5"/>
        <v>2</v>
      </c>
      <c r="P13" s="58">
        <f>VLOOKUP(C13,'Giao CT'!$D$6:$S$20,6,0)</f>
        <v>4</v>
      </c>
      <c r="Q13" s="64">
        <f>VLOOKUP(C13,GBOC!$E$7:$DG$29,$B$23,0)</f>
        <v>6</v>
      </c>
      <c r="R13" s="14">
        <f t="shared" si="6"/>
        <v>1.5</v>
      </c>
      <c r="S13" s="52">
        <f t="shared" si="7"/>
        <v>-2</v>
      </c>
      <c r="T13" s="58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50">
        <f t="shared" si="9"/>
        <v>-1</v>
      </c>
      <c r="X13" s="12">
        <f>VLOOKUP(C13,'Giao CT'!$D$6:$S$20,8,0)</f>
        <v>1</v>
      </c>
      <c r="Y13" s="13">
        <f>VLOOKUP(C13,GBOC!$E$7:$DG$29,$B$25,0)</f>
        <v>9</v>
      </c>
      <c r="Z13" s="14">
        <f t="shared" si="10"/>
        <v>9</v>
      </c>
      <c r="AA13" s="52">
        <f t="shared" si="11"/>
        <v>-8</v>
      </c>
      <c r="AB13" s="57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52">
        <f t="shared" si="13"/>
        <v>-37</v>
      </c>
      <c r="AF13" s="57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52">
        <f t="shared" si="15"/>
        <v>0</v>
      </c>
      <c r="AJ13" s="57">
        <f>VLOOKUP(C13,'Giao CT'!$D$6:$S$20,11,0)</f>
        <v>4</v>
      </c>
      <c r="AK13" s="13">
        <v>8</v>
      </c>
      <c r="AL13" s="14">
        <f t="shared" si="16"/>
        <v>0</v>
      </c>
      <c r="AM13" s="67">
        <f t="shared" si="17"/>
        <v>0</v>
      </c>
      <c r="AN13" s="57">
        <f>VLOOKUP(C13,'Giao CT'!$D$6:$S$20,12,0)</f>
        <v>5</v>
      </c>
      <c r="AO13" s="13">
        <f>VLOOKUP(C13,GBOC!$E$7:$DG$29,$B$29,0)</f>
        <v>3</v>
      </c>
      <c r="AP13" s="14">
        <f t="shared" si="18"/>
        <v>1.4</v>
      </c>
      <c r="AQ13" s="67">
        <f t="shared" si="19"/>
        <v>1.4</v>
      </c>
      <c r="AR13" s="33">
        <v>0.97</v>
      </c>
      <c r="AS13" s="129">
        <f>(VLOOKUP(B13,cuoc!$B$7:$P$27,14,0))*1%</f>
        <v>0.79359999999999997</v>
      </c>
      <c r="AT13" s="14">
        <f t="shared" si="20"/>
        <v>0</v>
      </c>
      <c r="AU13" s="54">
        <f t="shared" si="21"/>
        <v>0.1764</v>
      </c>
      <c r="AV13" s="57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54">
        <f t="shared" si="23"/>
        <v>2</v>
      </c>
      <c r="AZ13" s="57">
        <f>VLOOKUP(C13,'Giao CT'!$D$6:$S$20,15,0)</f>
        <v>1</v>
      </c>
      <c r="BA13" s="13">
        <f>VLOOKUP(C13,GBOC!$E$7:$DG$29,$B$32,0)</f>
        <v>0</v>
      </c>
      <c r="BB13" s="121">
        <f t="shared" si="24"/>
        <v>0</v>
      </c>
      <c r="BC13" s="54">
        <f t="shared" si="25"/>
        <v>1</v>
      </c>
      <c r="BD13" s="57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54">
        <f t="shared" si="27"/>
        <v>-2</v>
      </c>
    </row>
    <row r="14" spans="1:675" ht="17.850000000000001" customHeight="1" x14ac:dyDescent="0.45">
      <c r="A14" s="109" t="s">
        <v>32</v>
      </c>
      <c r="B14" s="113" t="s">
        <v>109</v>
      </c>
      <c r="C14" s="122" t="s">
        <v>110</v>
      </c>
      <c r="D14" s="12">
        <f>VLOOKUP(C14,'Giao CT'!$D$6:$S$20,3,0)</f>
        <v>8</v>
      </c>
      <c r="E14" s="64">
        <f>VLOOKUP(C14,GBOC!$E$7:$DG$29,$B$20,0)</f>
        <v>8</v>
      </c>
      <c r="F14" s="14">
        <f t="shared" si="0"/>
        <v>1</v>
      </c>
      <c r="G14" s="52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52">
        <f t="shared" si="3"/>
        <v>2</v>
      </c>
      <c r="L14" s="12">
        <f>VLOOKUP(C14,'Giao CT'!$D$6:$S$20,5,0)</f>
        <v>5</v>
      </c>
      <c r="M14" s="64">
        <f>VLOOKUP(C14,GBOC!$E$7:$DG$29,$B$22,0)</f>
        <v>1</v>
      </c>
      <c r="N14" s="14">
        <f t="shared" si="4"/>
        <v>0.2</v>
      </c>
      <c r="O14" s="52">
        <f t="shared" si="5"/>
        <v>4</v>
      </c>
      <c r="P14" s="58">
        <f>VLOOKUP(C14,'Giao CT'!$D$6:$S$20,6,0)</f>
        <v>5</v>
      </c>
      <c r="Q14" s="64">
        <f>VLOOKUP(C14,GBOC!$E$7:$DG$29,$B$23,0)</f>
        <v>3</v>
      </c>
      <c r="R14" s="14">
        <f t="shared" si="6"/>
        <v>0.6</v>
      </c>
      <c r="S14" s="52">
        <f t="shared" si="7"/>
        <v>2</v>
      </c>
      <c r="T14" s="58">
        <f>VLOOKUP(C14,'Giao CT'!$D$6:$S$20,7,0)</f>
        <v>3</v>
      </c>
      <c r="U14" s="13">
        <f>VLOOKUP(C14,GBOC!$E$7:$DG$29,$B$24,0)</f>
        <v>1</v>
      </c>
      <c r="V14" s="14">
        <f t="shared" si="8"/>
        <v>0.33333333333333331</v>
      </c>
      <c r="W14" s="50">
        <f t="shared" si="9"/>
        <v>2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52">
        <f t="shared" si="11"/>
        <v>0</v>
      </c>
      <c r="AB14" s="57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52">
        <f t="shared" si="13"/>
        <v>17</v>
      </c>
      <c r="AF14" s="57">
        <f>VLOOKUP(C14,'Giao CT'!$D$6:$S$20,10,0)</f>
        <v>9</v>
      </c>
      <c r="AG14" s="13">
        <f>VLOOKUP(C14,GBOC!$E$7:$DG$29,$B$27,0)</f>
        <v>0</v>
      </c>
      <c r="AH14" s="14">
        <f t="shared" si="14"/>
        <v>0</v>
      </c>
      <c r="AI14" s="52">
        <f t="shared" si="15"/>
        <v>9</v>
      </c>
      <c r="AJ14" s="57">
        <f>VLOOKUP(C14,'Giao CT'!$D$6:$S$20,11,0)</f>
        <v>4</v>
      </c>
      <c r="AK14" s="13">
        <v>4</v>
      </c>
      <c r="AL14" s="14">
        <f t="shared" si="16"/>
        <v>1</v>
      </c>
      <c r="AM14" s="67">
        <f t="shared" si="17"/>
        <v>1</v>
      </c>
      <c r="AN14" s="57">
        <f>VLOOKUP(C14,'Giao CT'!$D$6:$S$20,12,0)</f>
        <v>5</v>
      </c>
      <c r="AO14" s="13">
        <f>VLOOKUP(C14,GBOC!$E$7:$DG$29,$B$29,0)</f>
        <v>2</v>
      </c>
      <c r="AP14" s="14">
        <f t="shared" si="18"/>
        <v>1.6</v>
      </c>
      <c r="AQ14" s="67">
        <f t="shared" si="19"/>
        <v>1.6</v>
      </c>
      <c r="AR14" s="33">
        <v>0.97</v>
      </c>
      <c r="AS14" s="129">
        <f>(VLOOKUP(B14,cuoc!$B$7:$P$27,14,0))*1%</f>
        <v>0.66079999999999994</v>
      </c>
      <c r="AT14" s="14">
        <f t="shared" si="20"/>
        <v>0</v>
      </c>
      <c r="AU14" s="54">
        <f t="shared" si="21"/>
        <v>0.30920000000000003</v>
      </c>
      <c r="AV14" s="57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54">
        <f t="shared" si="23"/>
        <v>2</v>
      </c>
      <c r="AZ14" s="57">
        <f>VLOOKUP(C14,'Giao CT'!$D$6:$S$20,15,0)</f>
        <v>1</v>
      </c>
      <c r="BA14" s="13">
        <f>VLOOKUP(C14,GBOC!$E$7:$DG$29,$B$32,0)</f>
        <v>0</v>
      </c>
      <c r="BB14" s="121">
        <f t="shared" si="24"/>
        <v>0</v>
      </c>
      <c r="BC14" s="54">
        <f t="shared" si="25"/>
        <v>1</v>
      </c>
      <c r="BD14" s="57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54">
        <f t="shared" si="27"/>
        <v>0</v>
      </c>
    </row>
    <row r="15" spans="1:675" ht="17.850000000000001" customHeight="1" x14ac:dyDescent="0.45">
      <c r="A15" s="109" t="s">
        <v>31</v>
      </c>
      <c r="B15" s="111" t="s">
        <v>112</v>
      </c>
      <c r="C15" s="122" t="s">
        <v>113</v>
      </c>
      <c r="D15" s="12">
        <f>VLOOKUP(C15,'Giao CT'!$D$6:$S$20,3,0)</f>
        <v>7</v>
      </c>
      <c r="E15" s="64">
        <f>VLOOKUP(C15,GBOC!$E$7:$DG$29,$B$20,0)</f>
        <v>7</v>
      </c>
      <c r="F15" s="14">
        <f t="shared" si="0"/>
        <v>1</v>
      </c>
      <c r="G15" s="52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52">
        <f t="shared" si="3"/>
        <v>-1</v>
      </c>
      <c r="L15" s="12">
        <f>VLOOKUP(C15,'Giao CT'!$D$6:$S$20,5,0)</f>
        <v>5</v>
      </c>
      <c r="M15" s="64">
        <f>VLOOKUP(C15,GBOC!$E$7:$DG$29,$B$22,0)</f>
        <v>2</v>
      </c>
      <c r="N15" s="14">
        <f t="shared" si="4"/>
        <v>0.4</v>
      </c>
      <c r="O15" s="52">
        <f t="shared" si="5"/>
        <v>3</v>
      </c>
      <c r="P15" s="58">
        <f>VLOOKUP(C15,'Giao CT'!$D$6:$S$20,6,0)</f>
        <v>4</v>
      </c>
      <c r="Q15" s="64">
        <f>VLOOKUP(C15,GBOC!$E$7:$DG$29,$B$23,0)</f>
        <v>2</v>
      </c>
      <c r="R15" s="14">
        <f t="shared" si="6"/>
        <v>0.5</v>
      </c>
      <c r="S15" s="52">
        <f t="shared" si="7"/>
        <v>2</v>
      </c>
      <c r="T15" s="58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50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52">
        <f t="shared" si="11"/>
        <v>0</v>
      </c>
      <c r="AB15" s="57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52">
        <f t="shared" si="13"/>
        <v>-21</v>
      </c>
      <c r="AF15" s="57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52">
        <f t="shared" si="15"/>
        <v>3</v>
      </c>
      <c r="AJ15" s="57">
        <f>VLOOKUP(C15,'Giao CT'!$D$6:$S$20,11,0)</f>
        <v>4</v>
      </c>
      <c r="AK15" s="13">
        <v>4</v>
      </c>
      <c r="AL15" s="14">
        <f t="shared" si="16"/>
        <v>1</v>
      </c>
      <c r="AM15" s="67">
        <f t="shared" si="17"/>
        <v>1</v>
      </c>
      <c r="AN15" s="57">
        <f>VLOOKUP(C15,'Giao CT'!$D$6:$S$20,12,0)</f>
        <v>4</v>
      </c>
      <c r="AO15" s="13">
        <f>VLOOKUP(C15,GBOC!$E$7:$DG$29,$B$29,0)</f>
        <v>0</v>
      </c>
      <c r="AP15" s="14">
        <f t="shared" si="18"/>
        <v>2</v>
      </c>
      <c r="AQ15" s="67">
        <f t="shared" si="19"/>
        <v>2</v>
      </c>
      <c r="AR15" s="33">
        <v>0.97</v>
      </c>
      <c r="AS15" s="129">
        <f>(VLOOKUP(B15,cuoc!$B$7:$P$27,14,0))*1%</f>
        <v>0.6634000000000001</v>
      </c>
      <c r="AT15" s="14">
        <f t="shared" si="20"/>
        <v>0</v>
      </c>
      <c r="AU15" s="54">
        <f t="shared" si="21"/>
        <v>0.30659999999999987</v>
      </c>
      <c r="AV15" s="57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54">
        <f t="shared" si="23"/>
        <v>2</v>
      </c>
      <c r="AZ15" s="57">
        <f>VLOOKUP(C15,'Giao CT'!$D$6:$S$20,15,0)</f>
        <v>1</v>
      </c>
      <c r="BA15" s="13">
        <f>VLOOKUP(C15,GBOC!$E$7:$DG$29,$B$32,0)</f>
        <v>0</v>
      </c>
      <c r="BB15" s="121">
        <f t="shared" si="24"/>
        <v>0</v>
      </c>
      <c r="BC15" s="54">
        <f t="shared" si="25"/>
        <v>1</v>
      </c>
      <c r="BD15" s="57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54">
        <f t="shared" si="27"/>
        <v>0</v>
      </c>
    </row>
    <row r="16" spans="1:675" ht="17.850000000000001" customHeight="1" x14ac:dyDescent="0.45">
      <c r="A16" s="109" t="s">
        <v>30</v>
      </c>
      <c r="B16" s="111" t="s">
        <v>116</v>
      </c>
      <c r="C16" s="122" t="s">
        <v>117</v>
      </c>
      <c r="D16" s="12">
        <f>VLOOKUP(C16,'Giao CT'!$D$6:$S$20,3,0)</f>
        <v>8</v>
      </c>
      <c r="E16" s="64">
        <f>VLOOKUP(C16,GBOC!$E$7:$DG$29,$B$20,0)</f>
        <v>8</v>
      </c>
      <c r="F16" s="14">
        <f t="shared" si="0"/>
        <v>1</v>
      </c>
      <c r="G16" s="52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52">
        <f t="shared" si="3"/>
        <v>-2</v>
      </c>
      <c r="L16" s="12">
        <f>VLOOKUP(C16,'Giao CT'!$D$6:$S$20,5,0)</f>
        <v>5</v>
      </c>
      <c r="M16" s="64">
        <f>VLOOKUP(C16,GBOC!$E$7:$DG$29,$B$22,0)</f>
        <v>3</v>
      </c>
      <c r="N16" s="14">
        <f t="shared" si="4"/>
        <v>0.6</v>
      </c>
      <c r="O16" s="52">
        <f t="shared" si="5"/>
        <v>2</v>
      </c>
      <c r="P16" s="58">
        <f>VLOOKUP(C16,'Giao CT'!$D$6:$S$20,6,0)</f>
        <v>5</v>
      </c>
      <c r="Q16" s="64">
        <f>VLOOKUP(C16,GBOC!$E$7:$DG$29,$B$23,0)</f>
        <v>3</v>
      </c>
      <c r="R16" s="14">
        <f t="shared" si="6"/>
        <v>0.6</v>
      </c>
      <c r="S16" s="52">
        <f t="shared" si="7"/>
        <v>2</v>
      </c>
      <c r="T16" s="58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50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52">
        <f t="shared" si="11"/>
        <v>-1</v>
      </c>
      <c r="AB16" s="57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52">
        <f t="shared" si="13"/>
        <v>-31</v>
      </c>
      <c r="AF16" s="57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52">
        <f t="shared" si="15"/>
        <v>-2</v>
      </c>
      <c r="AJ16" s="57">
        <f>VLOOKUP(C16,'Giao CT'!$D$6:$S$20,11,0)</f>
        <v>4</v>
      </c>
      <c r="AK16" s="13">
        <v>10</v>
      </c>
      <c r="AL16" s="14">
        <f t="shared" si="16"/>
        <v>-0.5</v>
      </c>
      <c r="AM16" s="67">
        <f t="shared" si="17"/>
        <v>0</v>
      </c>
      <c r="AN16" s="57">
        <f>VLOOKUP(C16,'Giao CT'!$D$6:$S$20,12,0)</f>
        <v>5</v>
      </c>
      <c r="AO16" s="13">
        <f>VLOOKUP(C16,GBOC!$E$7:$DG$29,$B$29,0)</f>
        <v>0</v>
      </c>
      <c r="AP16" s="14">
        <f t="shared" si="18"/>
        <v>2</v>
      </c>
      <c r="AQ16" s="67">
        <f t="shared" si="19"/>
        <v>2</v>
      </c>
      <c r="AR16" s="33">
        <v>0.97</v>
      </c>
      <c r="AS16" s="129">
        <f>(VLOOKUP(B16,cuoc!$B$7:$P$27,14,0))*1%</f>
        <v>0.7419</v>
      </c>
      <c r="AT16" s="14">
        <f t="shared" si="20"/>
        <v>0</v>
      </c>
      <c r="AU16" s="54">
        <f t="shared" si="21"/>
        <v>0.22809999999999997</v>
      </c>
      <c r="AV16" s="57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54">
        <f t="shared" si="23"/>
        <v>3</v>
      </c>
      <c r="AZ16" s="57">
        <f>VLOOKUP(C16,'Giao CT'!$D$6:$S$20,15,0)</f>
        <v>1</v>
      </c>
      <c r="BA16" s="13">
        <f>VLOOKUP(C16,GBOC!$E$7:$DG$29,$B$32,0)</f>
        <v>2</v>
      </c>
      <c r="BB16" s="121">
        <f t="shared" si="24"/>
        <v>2</v>
      </c>
      <c r="BC16" s="54">
        <f t="shared" si="25"/>
        <v>-1</v>
      </c>
      <c r="BD16" s="57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54">
        <f t="shared" si="27"/>
        <v>-2</v>
      </c>
    </row>
    <row r="17" spans="1:59" ht="16.25" customHeight="1" x14ac:dyDescent="0.45">
      <c r="A17" s="109" t="s">
        <v>19</v>
      </c>
      <c r="B17" s="111" t="s">
        <v>118</v>
      </c>
      <c r="C17" s="122" t="s">
        <v>119</v>
      </c>
      <c r="D17" s="12">
        <f>VLOOKUP(C17,'Giao CT'!$D$6:$S$20,3,0)</f>
        <v>7</v>
      </c>
      <c r="E17" s="64">
        <f>VLOOKUP(C17,GBOC!$E$7:$DG$29,$B$20,0)</f>
        <v>11</v>
      </c>
      <c r="F17" s="14">
        <f t="shared" si="0"/>
        <v>1.5714285714285714</v>
      </c>
      <c r="G17" s="52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52">
        <f t="shared" si="3"/>
        <v>-1</v>
      </c>
      <c r="L17" s="12">
        <f>VLOOKUP(C17,'Giao CT'!$D$6:$S$20,5,0)</f>
        <v>5</v>
      </c>
      <c r="M17" s="64">
        <f>VLOOKUP(C17,GBOC!$E$7:$DG$29,$B$22,0)</f>
        <v>4</v>
      </c>
      <c r="N17" s="14">
        <f t="shared" si="4"/>
        <v>0.8</v>
      </c>
      <c r="O17" s="52">
        <f t="shared" si="5"/>
        <v>1</v>
      </c>
      <c r="P17" s="58">
        <f>VLOOKUP(C17,'Giao CT'!$D$6:$S$20,6,0)</f>
        <v>4</v>
      </c>
      <c r="Q17" s="64">
        <f>VLOOKUP(C17,GBOC!$E$7:$DG$29,$B$23,0)</f>
        <v>5</v>
      </c>
      <c r="R17" s="14">
        <f t="shared" si="6"/>
        <v>1.25</v>
      </c>
      <c r="S17" s="52">
        <f t="shared" si="7"/>
        <v>-1</v>
      </c>
      <c r="T17" s="58">
        <f>VLOOKUP(C17,'Giao CT'!$D$6:$S$20,7,0)</f>
        <v>4</v>
      </c>
      <c r="U17" s="13">
        <f>VLOOKUP(C17,GBOC!$E$7:$DG$29,$B$24,0)</f>
        <v>8</v>
      </c>
      <c r="V17" s="14">
        <f t="shared" si="8"/>
        <v>2</v>
      </c>
      <c r="W17" s="50">
        <f t="shared" si="9"/>
        <v>-4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52">
        <f t="shared" si="11"/>
        <v>-20</v>
      </c>
      <c r="AB17" s="57">
        <f>VLOOKUP(C17,'Giao CT'!$D$6:$S$20,9,0)</f>
        <v>60</v>
      </c>
      <c r="AC17" s="13">
        <f>VLOOKUP(C17,GBOC!$E$7:$DG$29,$B$26,0)</f>
        <v>171</v>
      </c>
      <c r="AD17" s="14">
        <f t="shared" si="12"/>
        <v>2.85</v>
      </c>
      <c r="AE17" s="52">
        <f t="shared" si="13"/>
        <v>-111</v>
      </c>
      <c r="AF17" s="57">
        <f>VLOOKUP(C17,'Giao CT'!$D$6:$S$20,10,0)</f>
        <v>8</v>
      </c>
      <c r="AG17" s="13">
        <f>VLOOKUP(C17,GBOC!$E$7:$DG$29,$B$27,0)</f>
        <v>21</v>
      </c>
      <c r="AH17" s="14">
        <f t="shared" si="14"/>
        <v>2.625</v>
      </c>
      <c r="AI17" s="52">
        <f t="shared" si="15"/>
        <v>-13</v>
      </c>
      <c r="AJ17" s="57">
        <f>VLOOKUP(C17,'Giao CT'!$D$6:$S$20,11,0)</f>
        <v>4</v>
      </c>
      <c r="AK17" s="13">
        <v>3</v>
      </c>
      <c r="AL17" s="14">
        <f t="shared" si="16"/>
        <v>1.25</v>
      </c>
      <c r="AM17" s="67">
        <f t="shared" si="17"/>
        <v>1.25</v>
      </c>
      <c r="AN17" s="57">
        <f>VLOOKUP(C17,'Giao CT'!$D$6:$S$20,12,0)</f>
        <v>5</v>
      </c>
      <c r="AO17" s="13">
        <f>VLOOKUP(C17,GBOC!$E$7:$DG$29,$B$29,0)</f>
        <v>0</v>
      </c>
      <c r="AP17" s="14">
        <f t="shared" si="18"/>
        <v>2</v>
      </c>
      <c r="AQ17" s="67">
        <f t="shared" si="19"/>
        <v>2</v>
      </c>
      <c r="AR17" s="33">
        <v>0.97</v>
      </c>
      <c r="AS17" s="129">
        <f>(VLOOKUP(B17,cuoc!$B$7:$P$27,14,0))*1%</f>
        <v>0.77190000000000003</v>
      </c>
      <c r="AT17" s="14">
        <f t="shared" si="20"/>
        <v>0</v>
      </c>
      <c r="AU17" s="54">
        <f t="shared" si="21"/>
        <v>0.19809999999999994</v>
      </c>
      <c r="AV17" s="57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54">
        <f t="shared" si="23"/>
        <v>3</v>
      </c>
      <c r="AZ17" s="57">
        <f>VLOOKUP(C17,'Giao CT'!$D$6:$S$20,15,0)</f>
        <v>1</v>
      </c>
      <c r="BA17" s="13">
        <f>VLOOKUP(C17,GBOC!$E$7:$DG$29,$B$32,0)</f>
        <v>1</v>
      </c>
      <c r="BB17" s="121">
        <f t="shared" si="24"/>
        <v>1</v>
      </c>
      <c r="BC17" s="54">
        <f t="shared" si="25"/>
        <v>0</v>
      </c>
      <c r="BD17" s="57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54">
        <f t="shared" si="27"/>
        <v>-2</v>
      </c>
    </row>
    <row r="18" spans="1:59" ht="17.850000000000001" customHeight="1" x14ac:dyDescent="0.45">
      <c r="A18" s="109" t="s">
        <v>33</v>
      </c>
      <c r="B18" s="111" t="s">
        <v>120</v>
      </c>
      <c r="C18" s="122" t="s">
        <v>121</v>
      </c>
      <c r="D18" s="12">
        <f>VLOOKUP(C18,'Giao CT'!$D$6:$S$20,3,0)</f>
        <v>3</v>
      </c>
      <c r="E18" s="64">
        <f>VLOOKUP(C18,GBOC!$E$7:$DG$29,$B$20,0)</f>
        <v>4</v>
      </c>
      <c r="F18" s="14">
        <f t="shared" si="0"/>
        <v>1.3333333333333333</v>
      </c>
      <c r="G18" s="52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52">
        <f t="shared" si="3"/>
        <v>2</v>
      </c>
      <c r="L18" s="12">
        <f>VLOOKUP(C18,'Giao CT'!$D$6:$S$20,5,0)</f>
        <v>2</v>
      </c>
      <c r="M18" s="64">
        <f>VLOOKUP(C18,GBOC!$E$7:$DG$29,$B$22,0)</f>
        <v>2</v>
      </c>
      <c r="N18" s="14">
        <f t="shared" si="4"/>
        <v>1</v>
      </c>
      <c r="O18" s="52">
        <f t="shared" si="5"/>
        <v>0</v>
      </c>
      <c r="P18" s="58">
        <f>VLOOKUP(C18,'Giao CT'!$D$6:$S$20,6,0)</f>
        <v>3</v>
      </c>
      <c r="Q18" s="64">
        <f>VLOOKUP(C18,GBOC!$E$7:$DG$29,$B$23,0)</f>
        <v>0</v>
      </c>
      <c r="R18" s="14">
        <f t="shared" si="6"/>
        <v>0</v>
      </c>
      <c r="S18" s="52">
        <f t="shared" si="7"/>
        <v>3</v>
      </c>
      <c r="T18" s="58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50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52">
        <f t="shared" si="11"/>
        <v>1</v>
      </c>
      <c r="AB18" s="57">
        <f>VLOOKUP(C18,'Giao CT'!$D$6:$S$20,9,0)</f>
        <v>14</v>
      </c>
      <c r="AC18" s="13">
        <f>VLOOKUP(C18,GBOC!$E$7:$DG$29,$B$26,0)</f>
        <v>3</v>
      </c>
      <c r="AD18" s="14">
        <f t="shared" si="12"/>
        <v>0.21428571428571427</v>
      </c>
      <c r="AE18" s="52">
        <f t="shared" si="13"/>
        <v>11</v>
      </c>
      <c r="AF18" s="57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52">
        <f t="shared" si="15"/>
        <v>5</v>
      </c>
      <c r="AJ18" s="57">
        <f>VLOOKUP(C18,'Giao CT'!$D$6:$S$20,11,0)</f>
        <v>3</v>
      </c>
      <c r="AK18" s="13">
        <v>4</v>
      </c>
      <c r="AL18" s="14">
        <f t="shared" si="16"/>
        <v>0.66666666666666674</v>
      </c>
      <c r="AM18" s="67">
        <f t="shared" si="17"/>
        <v>0.66666666666666674</v>
      </c>
      <c r="AN18" s="57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7">
        <f t="shared" si="19"/>
        <v>2</v>
      </c>
      <c r="AR18" s="33">
        <v>0.97</v>
      </c>
      <c r="AS18" s="129">
        <f>(VLOOKUP(B18,cuoc!$B$7:$P$27,14,0))*1%</f>
        <v>0.746</v>
      </c>
      <c r="AT18" s="14">
        <f t="shared" si="20"/>
        <v>0</v>
      </c>
      <c r="AU18" s="54">
        <f t="shared" si="21"/>
        <v>0.22399999999999998</v>
      </c>
      <c r="AV18" s="57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54">
        <f t="shared" si="23"/>
        <v>1</v>
      </c>
      <c r="AZ18" s="57">
        <f>VLOOKUP(C18,'Giao CT'!$D$6:$S$20,15,0)</f>
        <v>1</v>
      </c>
      <c r="BA18" s="13">
        <f>VLOOKUP(C18,GBOC!$E$7:$DG$29,$B$32,0)</f>
        <v>0</v>
      </c>
      <c r="BB18" s="121">
        <f t="shared" si="24"/>
        <v>0</v>
      </c>
      <c r="BC18" s="54">
        <f t="shared" si="25"/>
        <v>1</v>
      </c>
      <c r="BD18" s="57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54">
        <f t="shared" si="27"/>
        <v>0</v>
      </c>
    </row>
    <row r="19" spans="1:59" ht="51.5" customHeight="1" x14ac:dyDescent="0.45">
      <c r="A19" s="15"/>
      <c r="B19" s="86"/>
      <c r="C19" s="15"/>
      <c r="D19" s="15"/>
      <c r="E19" s="16"/>
      <c r="F19" s="213">
        <f ca="1">TODAY()</f>
        <v>46077</v>
      </c>
      <c r="G19" s="213"/>
      <c r="H19" s="90"/>
      <c r="I19" s="91">
        <f ca="1">DAY(F19)</f>
        <v>24</v>
      </c>
      <c r="J19" s="92">
        <v>31</v>
      </c>
      <c r="K19" s="95">
        <f ca="1">I19/J19</f>
        <v>0.77419354838709675</v>
      </c>
      <c r="L19" s="214" t="s">
        <v>124</v>
      </c>
      <c r="M19" s="214"/>
      <c r="N19" s="214"/>
      <c r="O19" s="214"/>
      <c r="P19" s="214"/>
      <c r="Q19" s="214"/>
      <c r="R19" s="214"/>
      <c r="S19" s="214"/>
      <c r="T19" s="214"/>
      <c r="U19" s="214"/>
      <c r="V19" s="214"/>
      <c r="W19" s="214"/>
      <c r="X19" s="214"/>
      <c r="Y19" s="214"/>
      <c r="Z19" s="214"/>
      <c r="AA19" s="214"/>
      <c r="AB19" s="214"/>
      <c r="AC19" s="214"/>
      <c r="AD19" s="214"/>
      <c r="AE19" s="214"/>
      <c r="AF19" s="214"/>
      <c r="AG19" s="214"/>
      <c r="AH19" s="214"/>
      <c r="AI19" s="214"/>
      <c r="AJ19" s="214"/>
      <c r="AK19" s="16"/>
      <c r="AL19" s="32"/>
      <c r="AM19" s="16"/>
      <c r="AN19" s="15"/>
      <c r="AO19" s="16"/>
      <c r="AP19" s="32"/>
      <c r="AQ19" s="68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18" t="s">
        <v>3</v>
      </c>
      <c r="B20" s="115" t="s">
        <v>264</v>
      </c>
      <c r="C20" s="115">
        <f t="shared" ref="C20:C29" si="28">B20-2</f>
        <v>5</v>
      </c>
    </row>
    <row r="21" spans="1:59" x14ac:dyDescent="0.45">
      <c r="A21" s="118" t="s">
        <v>40</v>
      </c>
      <c r="B21" s="116">
        <v>15</v>
      </c>
      <c r="C21" s="115">
        <f t="shared" si="28"/>
        <v>13</v>
      </c>
    </row>
    <row r="22" spans="1:59" ht="27.75" x14ac:dyDescent="0.45">
      <c r="A22" s="118" t="s">
        <v>41</v>
      </c>
      <c r="B22" s="116">
        <v>55</v>
      </c>
      <c r="C22" s="115">
        <f t="shared" si="28"/>
        <v>53</v>
      </c>
    </row>
    <row r="23" spans="1:59" x14ac:dyDescent="0.45">
      <c r="A23" s="23" t="s">
        <v>42</v>
      </c>
      <c r="B23" s="116">
        <v>87</v>
      </c>
      <c r="C23" s="115">
        <f t="shared" si="28"/>
        <v>85</v>
      </c>
    </row>
    <row r="24" spans="1:59" x14ac:dyDescent="0.45">
      <c r="A24" s="119" t="s">
        <v>43</v>
      </c>
      <c r="B24" s="117">
        <v>95</v>
      </c>
      <c r="C24" s="115">
        <f t="shared" si="28"/>
        <v>93</v>
      </c>
    </row>
    <row r="25" spans="1:59" x14ac:dyDescent="0.45">
      <c r="A25" s="119" t="s">
        <v>45</v>
      </c>
      <c r="B25" s="114">
        <v>103</v>
      </c>
      <c r="C25" s="115">
        <f t="shared" si="28"/>
        <v>101</v>
      </c>
    </row>
    <row r="26" spans="1:59" x14ac:dyDescent="0.45">
      <c r="A26" s="119" t="s">
        <v>47</v>
      </c>
      <c r="B26" s="114">
        <v>47</v>
      </c>
      <c r="C26" s="115">
        <f t="shared" si="28"/>
        <v>45</v>
      </c>
    </row>
    <row r="27" spans="1:59" x14ac:dyDescent="0.45">
      <c r="A27" s="119" t="s">
        <v>48</v>
      </c>
      <c r="B27" s="114">
        <v>79</v>
      </c>
      <c r="C27" s="115">
        <f t="shared" si="28"/>
        <v>77</v>
      </c>
    </row>
    <row r="28" spans="1:59" x14ac:dyDescent="0.45">
      <c r="A28" s="114" t="s">
        <v>51</v>
      </c>
      <c r="B28" s="114">
        <v>39</v>
      </c>
      <c r="C28" s="115">
        <f t="shared" si="28"/>
        <v>37</v>
      </c>
    </row>
    <row r="29" spans="1:59" x14ac:dyDescent="0.45">
      <c r="A29" s="114" t="s">
        <v>14</v>
      </c>
      <c r="B29" s="114">
        <v>31</v>
      </c>
      <c r="C29" s="115">
        <f t="shared" si="28"/>
        <v>29</v>
      </c>
    </row>
    <row r="30" spans="1:59" x14ac:dyDescent="0.45">
      <c r="A30" s="114" t="s">
        <v>52</v>
      </c>
      <c r="B30" s="114"/>
      <c r="C30" s="115"/>
    </row>
    <row r="31" spans="1:59" x14ac:dyDescent="0.45">
      <c r="A31" s="114" t="s">
        <v>16</v>
      </c>
      <c r="B31" s="114">
        <v>23</v>
      </c>
      <c r="C31" s="115">
        <f>B31-2</f>
        <v>21</v>
      </c>
    </row>
    <row r="32" spans="1:59" x14ac:dyDescent="0.45">
      <c r="A32" s="114" t="s">
        <v>54</v>
      </c>
      <c r="B32" s="114">
        <v>71</v>
      </c>
      <c r="C32" s="115">
        <f>B32-2</f>
        <v>69</v>
      </c>
    </row>
    <row r="33" spans="1:3" x14ac:dyDescent="0.45">
      <c r="A33" s="114" t="s">
        <v>55</v>
      </c>
      <c r="B33" s="114">
        <v>63</v>
      </c>
      <c r="C33" s="115">
        <f>B33-2</f>
        <v>61</v>
      </c>
    </row>
  </sheetData>
  <mergeCells count="22">
    <mergeCell ref="F19:G19"/>
    <mergeCell ref="AN3:AQ3"/>
    <mergeCell ref="AF3:AI3"/>
    <mergeCell ref="L19:AJ19"/>
    <mergeCell ref="P3:S3"/>
    <mergeCell ref="T3:W3"/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I10" sqref="I10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42" customWidth="1"/>
    <col min="9" max="9" width="10.46484375" style="42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23" t="s">
        <v>0</v>
      </c>
      <c r="B1" s="230" t="s">
        <v>132</v>
      </c>
      <c r="C1" s="231"/>
      <c r="D1" s="231"/>
      <c r="E1" s="231"/>
      <c r="F1" s="231"/>
      <c r="G1" s="231"/>
      <c r="H1" s="231"/>
      <c r="I1" s="231"/>
      <c r="J1" s="231"/>
    </row>
    <row r="2" spans="1:14" ht="43.5" customHeight="1" x14ac:dyDescent="0.45">
      <c r="A2" s="223"/>
      <c r="B2" s="44" t="s">
        <v>20</v>
      </c>
      <c r="C2" s="224" t="s">
        <v>2</v>
      </c>
      <c r="D2" s="226" t="s">
        <v>58</v>
      </c>
      <c r="E2" s="219" t="s">
        <v>133</v>
      </c>
      <c r="F2" s="219" t="s">
        <v>133</v>
      </c>
      <c r="G2" s="62" t="s">
        <v>134</v>
      </c>
      <c r="H2" s="62" t="s">
        <v>135</v>
      </c>
      <c r="I2" s="232" t="s">
        <v>136</v>
      </c>
      <c r="J2" s="228" t="s">
        <v>137</v>
      </c>
      <c r="K2" s="222" t="s">
        <v>138</v>
      </c>
    </row>
    <row r="3" spans="1:14" ht="35.25" customHeight="1" x14ac:dyDescent="0.45">
      <c r="A3" s="39" t="s">
        <v>139</v>
      </c>
      <c r="B3" s="41" t="s">
        <v>140</v>
      </c>
      <c r="C3" s="225"/>
      <c r="D3" s="227"/>
      <c r="E3" s="220"/>
      <c r="F3" s="220"/>
      <c r="G3" s="63">
        <f>SUM(G4:G14)</f>
        <v>101</v>
      </c>
      <c r="H3" s="94">
        <f>SUM(H4:H14)</f>
        <v>125.7</v>
      </c>
      <c r="I3" s="233"/>
      <c r="J3" s="229"/>
      <c r="K3" s="222"/>
      <c r="L3" s="218" t="s">
        <v>141</v>
      </c>
      <c r="M3" s="218"/>
      <c r="N3" s="218"/>
    </row>
    <row r="4" spans="1:14" ht="17.850000000000001" customHeight="1" x14ac:dyDescent="0.55000000000000004">
      <c r="A4" s="61">
        <v>1</v>
      </c>
      <c r="B4" s="40" t="s">
        <v>142</v>
      </c>
      <c r="C4" s="93">
        <f>VLOOKUP($B$2,'TH NV'!$A$5:$BG$18,'điểm NV'!M8,0)</f>
        <v>4</v>
      </c>
      <c r="D4" s="74">
        <f>VLOOKUP($B$2,'TH NV'!$A$5:$BG$18,N8,0)</f>
        <v>4</v>
      </c>
      <c r="E4" s="46">
        <f t="shared" ref="E4:E7" si="0">D4/C4</f>
        <v>1</v>
      </c>
      <c r="F4" s="46">
        <f t="shared" ref="F4:F13" si="1">MAX(E4,0)</f>
        <v>1</v>
      </c>
      <c r="G4" s="127">
        <v>10</v>
      </c>
      <c r="H4" s="128">
        <f>G4*1.2</f>
        <v>12</v>
      </c>
      <c r="I4" s="126">
        <f>IF(F4&gt;=1.3,G4*1.3,F4*G4)</f>
        <v>10</v>
      </c>
      <c r="J4" s="65">
        <f t="shared" ref="J4:J14" si="2">C4-D4</f>
        <v>0</v>
      </c>
      <c r="K4" s="222"/>
      <c r="L4" s="118" t="s">
        <v>3</v>
      </c>
      <c r="M4" s="167">
        <v>4</v>
      </c>
      <c r="N4" s="167">
        <f>M4+1</f>
        <v>5</v>
      </c>
    </row>
    <row r="5" spans="1:14" ht="17.850000000000001" customHeight="1" x14ac:dyDescent="0.55000000000000004">
      <c r="A5" s="61">
        <v>2</v>
      </c>
      <c r="B5" s="169" t="s">
        <v>143</v>
      </c>
      <c r="C5" s="93">
        <f>VLOOKUP($B$2,'TH NV'!$A$5:$BG$18,'điểm NV'!M10,0)</f>
        <v>30</v>
      </c>
      <c r="D5" s="74">
        <f>VLOOKUP($B$2,'TH NV'!$A$5:$BG$18,N10,0)</f>
        <v>33</v>
      </c>
      <c r="E5" s="46">
        <f t="shared" si="0"/>
        <v>1.1000000000000001</v>
      </c>
      <c r="F5" s="46">
        <f t="shared" si="1"/>
        <v>1.1000000000000001</v>
      </c>
      <c r="G5" s="127">
        <v>10</v>
      </c>
      <c r="H5" s="128">
        <f>G5*1.3</f>
        <v>13</v>
      </c>
      <c r="I5" s="126">
        <f>IF(F5&gt;=1.2,G5*1.2,F5*G5)</f>
        <v>11</v>
      </c>
      <c r="J5" s="65">
        <f t="shared" si="2"/>
        <v>-3</v>
      </c>
      <c r="K5" s="222"/>
      <c r="L5" s="118" t="s">
        <v>40</v>
      </c>
      <c r="M5" s="116">
        <v>8</v>
      </c>
      <c r="N5" s="167">
        <f t="shared" ref="N5:N17" si="3">M5+1</f>
        <v>9</v>
      </c>
    </row>
    <row r="6" spans="1:14" ht="17.850000000000001" customHeight="1" x14ac:dyDescent="0.55000000000000004">
      <c r="A6" s="61">
        <v>3</v>
      </c>
      <c r="B6" s="169" t="s">
        <v>144</v>
      </c>
      <c r="C6" s="93">
        <f>VLOOKUP($B$2,'TH NV'!$A$5:$BG$18,'điểm NV'!M4,0)</f>
        <v>8</v>
      </c>
      <c r="D6" s="74">
        <f>VLOOKUP($B$2,'TH NV'!$A$5:$BG$18,N4,0)</f>
        <v>7</v>
      </c>
      <c r="E6" s="46">
        <f t="shared" si="0"/>
        <v>0.875</v>
      </c>
      <c r="F6" s="46">
        <f t="shared" si="1"/>
        <v>0.875</v>
      </c>
      <c r="G6" s="127">
        <v>15</v>
      </c>
      <c r="H6" s="128">
        <f>G6*1.3</f>
        <v>19.5</v>
      </c>
      <c r="I6" s="126">
        <f>IF(F6&gt;=1.3,G6*1.3,F6*G6)</f>
        <v>13.125</v>
      </c>
      <c r="J6" s="65">
        <f t="shared" si="2"/>
        <v>1</v>
      </c>
      <c r="K6" s="222"/>
      <c r="L6" s="118" t="s">
        <v>41</v>
      </c>
      <c r="M6" s="116">
        <v>12</v>
      </c>
      <c r="N6" s="167">
        <f t="shared" si="3"/>
        <v>13</v>
      </c>
    </row>
    <row r="7" spans="1:14" ht="17.850000000000001" customHeight="1" x14ac:dyDescent="0.55000000000000004">
      <c r="A7" s="61">
        <v>4</v>
      </c>
      <c r="B7" s="40" t="s">
        <v>145</v>
      </c>
      <c r="C7" s="93">
        <f>VLOOKUP($B$2,'TH NV'!$A$5:$BG$18,'điểm NV'!M5,0)</f>
        <v>4</v>
      </c>
      <c r="D7" s="74">
        <f>VLOOKUP($B$2,'TH NV'!$A$5:$BG$18,N5,0)</f>
        <v>6</v>
      </c>
      <c r="E7" s="46">
        <f t="shared" si="0"/>
        <v>1.5</v>
      </c>
      <c r="F7" s="46">
        <f t="shared" si="1"/>
        <v>1.5</v>
      </c>
      <c r="G7" s="127">
        <v>10</v>
      </c>
      <c r="H7" s="128">
        <f>G7*1.2</f>
        <v>12</v>
      </c>
      <c r="I7" s="126">
        <f>IF(F7&gt;=1.2,G7*1.2,F7*G7)</f>
        <v>12</v>
      </c>
      <c r="J7" s="65">
        <f t="shared" si="2"/>
        <v>-2</v>
      </c>
      <c r="K7" s="222"/>
      <c r="L7" s="23" t="s">
        <v>42</v>
      </c>
      <c r="M7" s="116">
        <v>16</v>
      </c>
      <c r="N7" s="167">
        <f t="shared" si="3"/>
        <v>17</v>
      </c>
    </row>
    <row r="8" spans="1:14" ht="27.4" customHeight="1" x14ac:dyDescent="0.55000000000000004">
      <c r="A8" s="61">
        <v>5</v>
      </c>
      <c r="B8" s="169" t="s">
        <v>146</v>
      </c>
      <c r="C8" s="93">
        <f>VLOOKUP($B$2,'TH NV'!$A$5:$BG$18,'điểm NV'!M7,0)</f>
        <v>5</v>
      </c>
      <c r="D8" s="74">
        <f>VLOOKUP($B$2,'TH NV'!$A$5:$BG$18,N7,0)</f>
        <v>6</v>
      </c>
      <c r="E8" s="46">
        <f>(D8/C8)</f>
        <v>1.2</v>
      </c>
      <c r="F8" s="46">
        <f t="shared" si="1"/>
        <v>1.2</v>
      </c>
      <c r="G8" s="127">
        <v>10</v>
      </c>
      <c r="H8" s="128">
        <f>G8*1.3</f>
        <v>13</v>
      </c>
      <c r="I8" s="126">
        <f>IF(F8&gt;=1.2,G8*1.2,F8*G8)</f>
        <v>12</v>
      </c>
      <c r="J8" s="65">
        <f t="shared" si="2"/>
        <v>-1</v>
      </c>
      <c r="K8" s="222"/>
      <c r="L8" s="119" t="s">
        <v>43</v>
      </c>
      <c r="M8" s="117">
        <v>20</v>
      </c>
      <c r="N8" s="167">
        <f t="shared" si="3"/>
        <v>21</v>
      </c>
    </row>
    <row r="9" spans="1:14" ht="34.799999999999997" customHeight="1" x14ac:dyDescent="0.55000000000000004">
      <c r="A9" s="61">
        <v>6</v>
      </c>
      <c r="B9" s="40" t="s">
        <v>147</v>
      </c>
      <c r="C9" s="93">
        <f>VLOOKUP($B$2,'TH NV'!$A$5:$BG$18,'điểm NV'!M12,0)</f>
        <v>4</v>
      </c>
      <c r="D9" s="74">
        <f>VLOOKUP($B$2,'TH NV'!$A$5:$BG$18,N12,0)</f>
        <v>2</v>
      </c>
      <c r="E9" s="46">
        <f>200%-(D9/C9)</f>
        <v>1.5</v>
      </c>
      <c r="F9" s="46">
        <f t="shared" si="1"/>
        <v>1.5</v>
      </c>
      <c r="G9" s="127">
        <v>10</v>
      </c>
      <c r="H9" s="128">
        <f t="shared" ref="H9:H13" si="4">G9*1.2</f>
        <v>12</v>
      </c>
      <c r="I9" s="126">
        <f t="shared" ref="I9:I13" si="5">IF(F9&gt;=1.2,G9*1.2,F9*G9)</f>
        <v>12</v>
      </c>
      <c r="J9" s="65">
        <f t="shared" si="2"/>
        <v>2</v>
      </c>
      <c r="K9" s="222"/>
      <c r="L9" s="119" t="s">
        <v>45</v>
      </c>
      <c r="M9" s="114">
        <v>24</v>
      </c>
      <c r="N9" s="167">
        <f t="shared" si="3"/>
        <v>25</v>
      </c>
    </row>
    <row r="10" spans="1:14" ht="33.6" customHeight="1" x14ac:dyDescent="0.55000000000000004">
      <c r="A10" s="61">
        <v>7</v>
      </c>
      <c r="B10" s="56" t="s">
        <v>148</v>
      </c>
      <c r="C10" s="93">
        <f>VLOOKUP($B$2,'TH NV'!$A$5:$BG$18,'điểm NV'!M13,0)</f>
        <v>5</v>
      </c>
      <c r="D10" s="74">
        <f>VLOOKUP($B$2,'TH NV'!$A$5:$BG$18,N13,0)</f>
        <v>3</v>
      </c>
      <c r="E10" s="46">
        <f>200%-IFERROR(D10/C10,2)</f>
        <v>1.4</v>
      </c>
      <c r="F10" s="46">
        <f t="shared" si="1"/>
        <v>1.4</v>
      </c>
      <c r="G10" s="127">
        <v>10</v>
      </c>
      <c r="H10" s="128">
        <f t="shared" si="4"/>
        <v>12</v>
      </c>
      <c r="I10" s="126">
        <f t="shared" si="5"/>
        <v>12</v>
      </c>
      <c r="J10" s="65">
        <f t="shared" si="2"/>
        <v>2</v>
      </c>
      <c r="K10" s="222"/>
      <c r="L10" s="119" t="s">
        <v>47</v>
      </c>
      <c r="M10" s="114">
        <v>28</v>
      </c>
      <c r="N10" s="167">
        <f t="shared" si="3"/>
        <v>29</v>
      </c>
    </row>
    <row r="11" spans="1:14" ht="17.25" customHeight="1" x14ac:dyDescent="0.55000000000000004">
      <c r="A11" s="61">
        <v>8</v>
      </c>
      <c r="B11" s="40" t="s">
        <v>149</v>
      </c>
      <c r="C11" s="93">
        <f>VLOOKUP($B$2,'TH NV'!$A$5:$BG$18,'điểm NV'!M11,0)</f>
        <v>9</v>
      </c>
      <c r="D11" s="74">
        <f>VLOOKUP($B$2,'TH NV'!$A$5:$BG$18,N11,0)</f>
        <v>12</v>
      </c>
      <c r="E11" s="46">
        <f>D11/C11</f>
        <v>1.3333333333333333</v>
      </c>
      <c r="F11" s="46">
        <f t="shared" si="1"/>
        <v>1.3333333333333333</v>
      </c>
      <c r="G11" s="127">
        <v>5</v>
      </c>
      <c r="H11" s="128">
        <f t="shared" si="4"/>
        <v>6</v>
      </c>
      <c r="I11" s="126">
        <f t="shared" si="5"/>
        <v>6</v>
      </c>
      <c r="J11" s="65">
        <f t="shared" si="2"/>
        <v>-3</v>
      </c>
      <c r="K11" s="222"/>
      <c r="L11" s="119" t="s">
        <v>48</v>
      </c>
      <c r="M11" s="114">
        <v>32</v>
      </c>
      <c r="N11" s="167">
        <f t="shared" si="3"/>
        <v>33</v>
      </c>
    </row>
    <row r="12" spans="1:14" ht="17.850000000000001" customHeight="1" x14ac:dyDescent="0.55000000000000004">
      <c r="A12" s="61">
        <v>9</v>
      </c>
      <c r="B12" s="170" t="s">
        <v>287</v>
      </c>
      <c r="C12" s="93">
        <f>VLOOKUP($B$2,'TH NV'!$A$5:$BG$18,'điểm NV'!M16,0)</f>
        <v>1</v>
      </c>
      <c r="D12" s="74">
        <f>VLOOKUP($B$2,'TH NV'!$A$5:$BG$18,N16,0)</f>
        <v>1</v>
      </c>
      <c r="E12" s="171"/>
      <c r="F12" s="46">
        <f t="shared" ref="F12" si="6">MAX(E12,0)</f>
        <v>0</v>
      </c>
      <c r="G12" s="127">
        <v>1</v>
      </c>
      <c r="H12" s="128">
        <f t="shared" ref="H12" si="7">G12*1.2</f>
        <v>1.2</v>
      </c>
      <c r="I12" s="126">
        <f t="shared" ref="I12" si="8">IF(F12&gt;=1.2,G12*1.2,F12*G12)</f>
        <v>0</v>
      </c>
      <c r="J12" s="65">
        <f t="shared" ref="J12" si="9">C12-D12</f>
        <v>0</v>
      </c>
      <c r="K12" s="222"/>
      <c r="L12" s="114" t="s">
        <v>51</v>
      </c>
      <c r="M12" s="114">
        <v>36</v>
      </c>
      <c r="N12" s="167">
        <f t="shared" si="3"/>
        <v>37</v>
      </c>
    </row>
    <row r="13" spans="1:14" ht="17.850000000000001" customHeight="1" x14ac:dyDescent="0.55000000000000004">
      <c r="A13" s="61">
        <v>10</v>
      </c>
      <c r="B13" s="55" t="s">
        <v>150</v>
      </c>
      <c r="C13" s="93">
        <f>VLOOKUP($B$2,'TH NV'!$A$5:$BG$18,'điểm NV'!M6,0)+VLOOKUP($B$2,'TH NV'!$A$5:$BG$18,'điểm NV'!M17,0)</f>
        <v>5</v>
      </c>
      <c r="D13" s="74">
        <f>VLOOKUP($B$2,'TH NV'!$A$5:$BG$18,N6,0)+VLOOKUP($B$2,'TH NV'!$A$5:$BG$18,N17,0)</f>
        <v>5</v>
      </c>
      <c r="E13" s="46">
        <f>D13/C13</f>
        <v>1</v>
      </c>
      <c r="F13" s="46">
        <f t="shared" si="1"/>
        <v>1</v>
      </c>
      <c r="G13" s="127">
        <v>10</v>
      </c>
      <c r="H13" s="128">
        <f t="shared" si="4"/>
        <v>12</v>
      </c>
      <c r="I13" s="126">
        <f t="shared" si="5"/>
        <v>10</v>
      </c>
      <c r="J13" s="65">
        <f t="shared" si="2"/>
        <v>0</v>
      </c>
      <c r="K13" s="222"/>
      <c r="L13" s="114" t="s">
        <v>14</v>
      </c>
      <c r="M13" s="114">
        <v>40</v>
      </c>
      <c r="N13" s="167">
        <f t="shared" si="3"/>
        <v>41</v>
      </c>
    </row>
    <row r="14" spans="1:14" ht="17.850000000000001" customHeight="1" x14ac:dyDescent="0.55000000000000004">
      <c r="A14" s="61">
        <v>11</v>
      </c>
      <c r="B14" s="120" t="s">
        <v>151</v>
      </c>
      <c r="C14" s="168">
        <v>0.97</v>
      </c>
      <c r="D14" s="74">
        <f>VLOOKUP($B$2,'TH NV'!$A$5:$BG$18,N14,0)</f>
        <v>0.80079999999999996</v>
      </c>
      <c r="E14" s="49" t="e">
        <f>VLOOKUP($B$2,'TH NV'!$A$1:$BG$18,70,0)</f>
        <v>#REF!</v>
      </c>
      <c r="F14" s="46">
        <f>IF(D14&lt;94.5%,0,IF(D14&lt;95.54%,50%,IF(D14&lt;C14,80%,100%+(30%*(D14-C14)/3.66%))))</f>
        <v>0</v>
      </c>
      <c r="G14" s="127">
        <v>10</v>
      </c>
      <c r="H14" s="128">
        <f>G14*1.3</f>
        <v>13</v>
      </c>
      <c r="I14" s="126">
        <f>IF(F14&gt;=1.3,G14*1.3,F14*G14)</f>
        <v>0</v>
      </c>
      <c r="J14" s="65">
        <f t="shared" si="2"/>
        <v>0.16920000000000002</v>
      </c>
      <c r="K14" s="222"/>
      <c r="L14" s="114" t="s">
        <v>52</v>
      </c>
      <c r="M14" s="114"/>
      <c r="N14" s="167">
        <v>45</v>
      </c>
    </row>
    <row r="15" spans="1:14" ht="17.850000000000001" customHeight="1" x14ac:dyDescent="0.45">
      <c r="B15" s="73" t="s">
        <v>152</v>
      </c>
      <c r="C15" s="221" t="s">
        <v>153</v>
      </c>
      <c r="D15" s="221"/>
      <c r="E15" s="221"/>
      <c r="F15" s="221"/>
      <c r="G15" s="221"/>
      <c r="H15" s="221"/>
      <c r="I15" s="72">
        <f>SUM(I4:I14)</f>
        <v>98.125</v>
      </c>
      <c r="J15" s="43"/>
      <c r="K15" s="222"/>
      <c r="L15" s="114" t="s">
        <v>16</v>
      </c>
      <c r="M15" s="114">
        <v>48</v>
      </c>
      <c r="N15" s="167">
        <f t="shared" si="3"/>
        <v>49</v>
      </c>
    </row>
    <row r="16" spans="1:14" ht="17.850000000000001" customHeight="1" x14ac:dyDescent="0.45">
      <c r="K16" s="222"/>
      <c r="L16" s="114" t="s">
        <v>54</v>
      </c>
      <c r="M16" s="114">
        <v>52</v>
      </c>
      <c r="N16" s="167">
        <f t="shared" si="3"/>
        <v>53</v>
      </c>
    </row>
    <row r="17" spans="11:14" ht="17.850000000000001" customHeight="1" x14ac:dyDescent="0.45">
      <c r="K17" s="222"/>
      <c r="L17" s="114" t="s">
        <v>55</v>
      </c>
      <c r="M17" s="114">
        <v>56</v>
      </c>
      <c r="N17" s="167">
        <f t="shared" si="3"/>
        <v>57</v>
      </c>
    </row>
    <row r="18" spans="11:14" ht="17.850000000000001" customHeight="1" x14ac:dyDescent="0.45">
      <c r="K18" s="222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E1" activePane="topRight" state="frozen"/>
      <selection activeCell="E28" sqref="E28"/>
      <selection pane="topRight" activeCell="AI23" sqref="AI23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37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211" t="s">
        <v>35</v>
      </c>
      <c r="E1" s="211"/>
      <c r="F1" s="211"/>
      <c r="G1" s="211"/>
      <c r="H1" s="211"/>
      <c r="I1" s="211"/>
      <c r="J1" s="211"/>
      <c r="K1" s="211"/>
      <c r="L1" s="211"/>
      <c r="M1" s="211"/>
      <c r="N1" s="211"/>
      <c r="O1" s="211"/>
      <c r="P1" s="211"/>
      <c r="Q1" s="211"/>
      <c r="R1" s="211"/>
      <c r="S1" s="211"/>
      <c r="T1" s="206" t="s">
        <v>36</v>
      </c>
      <c r="U1" s="206"/>
      <c r="V1" s="206"/>
      <c r="W1" s="206"/>
      <c r="X1" s="206"/>
      <c r="Y1" s="206"/>
      <c r="Z1" s="206"/>
      <c r="AA1" s="206"/>
      <c r="AB1" s="206"/>
      <c r="AC1" s="206"/>
      <c r="AD1" s="206"/>
      <c r="AE1" s="206"/>
      <c r="AF1" s="206"/>
      <c r="AG1" s="206"/>
      <c r="AH1" s="206"/>
      <c r="AI1" s="206"/>
      <c r="AJ1" s="234" t="s">
        <v>37</v>
      </c>
      <c r="AK1" s="234"/>
      <c r="AL1" s="234"/>
      <c r="AM1" s="234"/>
      <c r="AN1" s="234"/>
      <c r="AO1" s="234"/>
      <c r="AP1" s="234"/>
      <c r="AQ1" s="234"/>
      <c r="AR1" s="234"/>
      <c r="AS1" s="234"/>
      <c r="AT1" s="234"/>
      <c r="AU1" s="234"/>
      <c r="AV1" s="235" t="s">
        <v>38</v>
      </c>
      <c r="AW1" s="235"/>
      <c r="AX1" s="235"/>
      <c r="AY1" s="235"/>
      <c r="AZ1" s="235"/>
      <c r="BA1" s="235"/>
      <c r="BB1" s="235"/>
      <c r="BC1" s="235"/>
      <c r="BD1" s="235"/>
      <c r="BE1" s="235"/>
      <c r="BF1" s="235"/>
      <c r="BG1" s="235"/>
    </row>
    <row r="2" spans="1:59" ht="15.6" customHeight="1" x14ac:dyDescent="0.45">
      <c r="B2" s="1"/>
      <c r="C2" s="1"/>
      <c r="D2" s="202" t="s">
        <v>3</v>
      </c>
      <c r="E2" s="203"/>
      <c r="F2" s="203"/>
      <c r="G2" s="203"/>
      <c r="H2" s="202" t="s">
        <v>40</v>
      </c>
      <c r="I2" s="203"/>
      <c r="J2" s="203"/>
      <c r="K2" s="203"/>
      <c r="L2" s="202" t="s">
        <v>41</v>
      </c>
      <c r="M2" s="203"/>
      <c r="N2" s="203"/>
      <c r="O2" s="203"/>
      <c r="P2" s="215" t="s">
        <v>42</v>
      </c>
      <c r="Q2" s="216"/>
      <c r="R2" s="216"/>
      <c r="S2" s="217"/>
      <c r="T2" s="202" t="s">
        <v>43</v>
      </c>
      <c r="U2" s="203"/>
      <c r="V2" s="203"/>
      <c r="W2" s="203"/>
      <c r="X2" s="202" t="s">
        <v>45</v>
      </c>
      <c r="Y2" s="203"/>
      <c r="Z2" s="203"/>
      <c r="AA2" s="203"/>
      <c r="AB2" s="202" t="s">
        <v>47</v>
      </c>
      <c r="AC2" s="203"/>
      <c r="AD2" s="203"/>
      <c r="AE2" s="203"/>
      <c r="AF2" s="202" t="s">
        <v>48</v>
      </c>
      <c r="AG2" s="203"/>
      <c r="AH2" s="203"/>
      <c r="AI2" s="203"/>
      <c r="AJ2" s="208" t="s">
        <v>51</v>
      </c>
      <c r="AK2" s="209"/>
      <c r="AL2" s="209"/>
      <c r="AM2" s="210"/>
      <c r="AN2" s="208" t="s">
        <v>14</v>
      </c>
      <c r="AO2" s="209"/>
      <c r="AP2" s="209"/>
      <c r="AQ2" s="210"/>
      <c r="AR2" s="208" t="s">
        <v>52</v>
      </c>
      <c r="AS2" s="209"/>
      <c r="AT2" s="209"/>
      <c r="AU2" s="210"/>
      <c r="AV2" s="203" t="s">
        <v>16</v>
      </c>
      <c r="AW2" s="203"/>
      <c r="AX2" s="203"/>
      <c r="AY2" s="203"/>
      <c r="AZ2" s="203" t="s">
        <v>54</v>
      </c>
      <c r="BA2" s="203"/>
      <c r="BB2" s="203"/>
      <c r="BC2" s="203"/>
      <c r="BD2" s="202" t="s">
        <v>55</v>
      </c>
      <c r="BE2" s="203"/>
      <c r="BF2" s="207"/>
      <c r="BG2" s="203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51" t="s">
        <v>59</v>
      </c>
      <c r="H3" s="8" t="s">
        <v>2</v>
      </c>
      <c r="I3" s="9" t="s">
        <v>58</v>
      </c>
      <c r="J3" s="31" t="s">
        <v>4</v>
      </c>
      <c r="K3" s="51" t="s">
        <v>59</v>
      </c>
      <c r="L3" s="8" t="s">
        <v>2</v>
      </c>
      <c r="M3" s="9" t="s">
        <v>58</v>
      </c>
      <c r="N3" s="9" t="s">
        <v>4</v>
      </c>
      <c r="O3" s="51" t="s">
        <v>59</v>
      </c>
      <c r="P3" s="8" t="s">
        <v>2</v>
      </c>
      <c r="Q3" s="9" t="s">
        <v>58</v>
      </c>
      <c r="R3" s="9" t="s">
        <v>4</v>
      </c>
      <c r="S3" s="51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51" t="s">
        <v>59</v>
      </c>
      <c r="AB3" s="22" t="s">
        <v>2</v>
      </c>
      <c r="AC3" s="9" t="s">
        <v>58</v>
      </c>
      <c r="AD3" s="31" t="s">
        <v>4</v>
      </c>
      <c r="AE3" s="51" t="s">
        <v>59</v>
      </c>
      <c r="AF3" s="22" t="s">
        <v>2</v>
      </c>
      <c r="AG3" s="9" t="s">
        <v>58</v>
      </c>
      <c r="AH3" s="31" t="s">
        <v>4</v>
      </c>
      <c r="AI3" s="51" t="s">
        <v>59</v>
      </c>
      <c r="AJ3" s="22" t="s">
        <v>2</v>
      </c>
      <c r="AK3" s="9" t="s">
        <v>58</v>
      </c>
      <c r="AL3" s="14" t="s">
        <v>4</v>
      </c>
      <c r="AM3" s="53" t="s">
        <v>60</v>
      </c>
      <c r="AN3" s="8" t="s">
        <v>2</v>
      </c>
      <c r="AO3" s="9" t="s">
        <v>58</v>
      </c>
      <c r="AP3" s="14" t="s">
        <v>4</v>
      </c>
      <c r="AQ3" s="66" t="s">
        <v>60</v>
      </c>
      <c r="AR3" s="11" t="s">
        <v>2</v>
      </c>
      <c r="AS3" s="9" t="s">
        <v>58</v>
      </c>
      <c r="AT3" s="14" t="s">
        <v>61</v>
      </c>
      <c r="AU3" s="53" t="s">
        <v>62</v>
      </c>
      <c r="AV3" s="8" t="s">
        <v>2</v>
      </c>
      <c r="AW3" s="9" t="s">
        <v>58</v>
      </c>
      <c r="AX3" s="14" t="s">
        <v>4</v>
      </c>
      <c r="AY3" s="53" t="s">
        <v>59</v>
      </c>
      <c r="AZ3" s="8" t="s">
        <v>2</v>
      </c>
      <c r="BA3" s="9" t="s">
        <v>58</v>
      </c>
      <c r="BB3" s="14" t="s">
        <v>4</v>
      </c>
      <c r="BC3" s="53" t="s">
        <v>59</v>
      </c>
      <c r="BD3" s="8" t="s">
        <v>2</v>
      </c>
      <c r="BE3" s="9" t="s">
        <v>58</v>
      </c>
      <c r="BF3" s="14" t="s">
        <v>4</v>
      </c>
      <c r="BG3" s="53" t="s">
        <v>59</v>
      </c>
    </row>
    <row r="4" spans="1:59" ht="15.4" x14ac:dyDescent="0.45">
      <c r="A4" s="138" t="s">
        <v>67</v>
      </c>
      <c r="B4" s="138" t="s">
        <v>66</v>
      </c>
      <c r="C4" s="138" t="s">
        <v>128</v>
      </c>
      <c r="D4" s="140">
        <f>VLOOKUP(A4,'Giao CT'!$D$6:$S$20,3,0)</f>
        <v>8</v>
      </c>
      <c r="E4" s="64">
        <f>VLOOKUP(A4,GBOC!$E$7:$DG$29,$B$21,0)</f>
        <v>7</v>
      </c>
      <c r="F4" s="14">
        <f t="shared" ref="F4" si="0">IFERROR(E4/D4,0)</f>
        <v>0.875</v>
      </c>
      <c r="G4" s="52">
        <f t="shared" ref="G4" si="1">D4-E4</f>
        <v>1</v>
      </c>
      <c r="H4" s="140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52">
        <f t="shared" ref="K4" si="3">H4-I4</f>
        <v>-2</v>
      </c>
      <c r="L4" s="140">
        <f>VLOOKUP(A4,'Giao CT'!$D$6:$S$20,5,0)</f>
        <v>5</v>
      </c>
      <c r="M4" s="64">
        <f>VLOOKUP(A4,GBOC!$E$7:$DG$29,$B$23,0)</f>
        <v>5</v>
      </c>
      <c r="N4" s="14">
        <f t="shared" ref="N4" si="4">IFERROR(M4/L4,0)</f>
        <v>1</v>
      </c>
      <c r="O4" s="52">
        <f t="shared" ref="O4" si="5">L4-M4</f>
        <v>0</v>
      </c>
      <c r="P4" s="58">
        <f>VLOOKUP(A4,'Giao CT'!$D$6:$S$20,6,0)</f>
        <v>5</v>
      </c>
      <c r="Q4" s="64">
        <f>VLOOKUP(A4,GBOC!$E$7:$DG$29,$B$24,0)</f>
        <v>6</v>
      </c>
      <c r="R4" s="14">
        <f t="shared" ref="R4" si="6">IFERROR(Q4/P4,0)</f>
        <v>1.2</v>
      </c>
      <c r="S4" s="52">
        <f t="shared" ref="S4" si="7">P4-Q4</f>
        <v>-1</v>
      </c>
      <c r="T4" s="58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50">
        <f t="shared" ref="W4" si="9">T4-U4</f>
        <v>0</v>
      </c>
      <c r="X4" s="58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52">
        <f t="shared" ref="AA4" si="11">X4-Y4</f>
        <v>0</v>
      </c>
      <c r="AB4" s="57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52">
        <f t="shared" ref="AE4" si="13">AB4-AC4</f>
        <v>-3</v>
      </c>
      <c r="AF4" s="57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52">
        <f t="shared" ref="AI4" si="15">AF4-AG4</f>
        <v>-3</v>
      </c>
      <c r="AJ4" s="57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7">
        <f t="shared" ref="AM4" si="17">MAX(AL4,0)</f>
        <v>1.5</v>
      </c>
      <c r="AN4" s="57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7">
        <f t="shared" ref="AQ4" si="19">MAX(AP4,0)</f>
        <v>1.4</v>
      </c>
      <c r="AR4" s="33">
        <v>0.97</v>
      </c>
      <c r="AS4" s="129">
        <f>(VLOOKUP(B4,cuoc!$B$7:$P$27,14,0))*1%</f>
        <v>0.80079999999999996</v>
      </c>
      <c r="AT4" s="14">
        <f t="shared" ref="AT4" si="20">IF(AS4&lt;94.5%,0,IF(AS4&lt;95.54%,50%,IF(AS4&lt;AR4,80%,100%+(30%*(AS4-AR4)/3.39%))))</f>
        <v>0</v>
      </c>
      <c r="AU4" s="54">
        <f t="shared" ref="AU4" si="21">AR4-AS4</f>
        <v>0.16920000000000002</v>
      </c>
      <c r="AV4" s="57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54">
        <f t="shared" ref="AY4" si="23">AV4-AW4</f>
        <v>2</v>
      </c>
      <c r="AZ4" s="57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54">
        <f t="shared" ref="BC4" si="25">AZ4-BA4</f>
        <v>0</v>
      </c>
      <c r="BD4" s="57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54">
        <f t="shared" ref="BG4" si="27">BD4-BE4</f>
        <v>0</v>
      </c>
    </row>
    <row r="5" spans="1:59" ht="15.4" x14ac:dyDescent="0.45">
      <c r="A5" s="138" t="s">
        <v>87</v>
      </c>
      <c r="B5" s="138" t="s">
        <v>86</v>
      </c>
      <c r="C5" s="138" t="s">
        <v>128</v>
      </c>
      <c r="D5" s="140">
        <f>VLOOKUP(A5,'Giao CT'!$D$6:$S$20,3,0)</f>
        <v>8</v>
      </c>
      <c r="E5" s="64">
        <f>VLOOKUP(A5,GBOC!$E$7:$DG$29,$B$21,0)</f>
        <v>8</v>
      </c>
      <c r="F5" s="14">
        <f t="shared" ref="F5:F16" si="28">IFERROR(E5/D5,0)</f>
        <v>1</v>
      </c>
      <c r="G5" s="52">
        <f t="shared" ref="G5:G16" si="29">D5-E5</f>
        <v>0</v>
      </c>
      <c r="H5" s="140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52">
        <f t="shared" ref="K5:K16" si="31">H5-I5</f>
        <v>1</v>
      </c>
      <c r="L5" s="140">
        <f>VLOOKUP(A5,'Giao CT'!$D$6:$S$20,5,0)</f>
        <v>5</v>
      </c>
      <c r="M5" s="64">
        <f>VLOOKUP(A5,GBOC!$E$7:$DG$29,$B$23,0)</f>
        <v>4</v>
      </c>
      <c r="N5" s="14">
        <f t="shared" ref="N5:N16" si="32">IFERROR(M5/L5,0)</f>
        <v>0.8</v>
      </c>
      <c r="O5" s="52">
        <f t="shared" ref="O5:O16" si="33">L5-M5</f>
        <v>1</v>
      </c>
      <c r="P5" s="58">
        <f>VLOOKUP(A5,'Giao CT'!$D$6:$S$20,6,0)</f>
        <v>5</v>
      </c>
      <c r="Q5" s="64">
        <f>VLOOKUP(A5,GBOC!$E$7:$DG$29,$B$24,0)</f>
        <v>1</v>
      </c>
      <c r="R5" s="14">
        <f t="shared" ref="R5:R16" si="34">IFERROR(Q5/P5,0)</f>
        <v>0.2</v>
      </c>
      <c r="S5" s="52">
        <f t="shared" ref="S5:S16" si="35">P5-Q5</f>
        <v>4</v>
      </c>
      <c r="T5" s="58">
        <f>VLOOKUP(A5,'Giao CT'!$D$6:$S$20,7,0)</f>
        <v>4</v>
      </c>
      <c r="U5" s="13">
        <f>VLOOKUP(A5,GBOC!$E$7:$DG$29,$B$25,0)</f>
        <v>3</v>
      </c>
      <c r="V5" s="14">
        <f t="shared" ref="V5:V16" si="36">IFERROR(U5/T5,0)</f>
        <v>0.75</v>
      </c>
      <c r="W5" s="50">
        <f t="shared" ref="W5:W16" si="37">T5-U5</f>
        <v>1</v>
      </c>
      <c r="X5" s="58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52">
        <f t="shared" ref="AA5:AA16" si="39">X5-Y5</f>
        <v>1</v>
      </c>
      <c r="AB5" s="57">
        <f>VLOOKUP(A5,'Giao CT'!$D$6:$S$20,9,0)</f>
        <v>50</v>
      </c>
      <c r="AC5" s="13">
        <f>VLOOKUP(A5,GBOC!$E$7:$DG$29,$B$27,0)</f>
        <v>69</v>
      </c>
      <c r="AD5" s="14">
        <f t="shared" ref="AD5:AD16" si="40">IFERROR(AC5/AB5,0)</f>
        <v>1.38</v>
      </c>
      <c r="AE5" s="52">
        <f t="shared" ref="AE5:AE16" si="41">AB5-AC5</f>
        <v>-19</v>
      </c>
      <c r="AF5" s="57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52">
        <f t="shared" ref="AI5:AI16" si="43">AF5-AG5</f>
        <v>-2</v>
      </c>
      <c r="AJ5" s="57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7">
        <f t="shared" ref="AM5:AM16" si="45">MAX(AL5,0)</f>
        <v>0</v>
      </c>
      <c r="AN5" s="57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7">
        <f t="shared" ref="AQ5:AQ16" si="47">MAX(AP5,0)</f>
        <v>1.6</v>
      </c>
      <c r="AR5" s="33">
        <v>0.97</v>
      </c>
      <c r="AS5" s="129">
        <f>(VLOOKUP(B5,cuoc!$B$7:$P$27,14,0))*1%</f>
        <v>0.71579999999999999</v>
      </c>
      <c r="AT5" s="14">
        <f t="shared" ref="AT5:AT16" si="48">IF(AS5&lt;94.5%,0,IF(AS5&lt;95.54%,50%,IF(AS5&lt;AR5,80%,100%+(30%*(AS5-AR5)/3.39%))))</f>
        <v>0</v>
      </c>
      <c r="AU5" s="54">
        <f t="shared" ref="AU5:AU16" si="49">AR5-AS5</f>
        <v>0.25419999999999998</v>
      </c>
      <c r="AV5" s="57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54">
        <f t="shared" ref="AY5:AY16" si="51">AV5-AW5</f>
        <v>2</v>
      </c>
      <c r="AZ5" s="57">
        <f>VLOOKUP(A5,'Giao CT'!$D$6:$S$20,15,0)</f>
        <v>1</v>
      </c>
      <c r="BA5" s="13">
        <f>VLOOKUP(A5,GBOC!$E$7:$DG$29,$B$33,0)</f>
        <v>0</v>
      </c>
      <c r="BB5" s="14">
        <f t="shared" ref="BB5:BB16" si="52">IFERROR(BA5/AZ5,1)</f>
        <v>0</v>
      </c>
      <c r="BC5" s="54">
        <f t="shared" ref="BC5:BC16" si="53">AZ5-BA5</f>
        <v>1</v>
      </c>
      <c r="BD5" s="57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54">
        <f t="shared" ref="BG5:BG16" si="55">BD5-BE5</f>
        <v>1</v>
      </c>
    </row>
    <row r="6" spans="1:59" ht="15.4" x14ac:dyDescent="0.45">
      <c r="A6" s="138" t="s">
        <v>99</v>
      </c>
      <c r="B6" s="138" t="s">
        <v>98</v>
      </c>
      <c r="C6" s="138" t="s">
        <v>128</v>
      </c>
      <c r="D6" s="140">
        <f>VLOOKUP(A6,'Giao CT'!$D$6:$S$20,3,0)</f>
        <v>8</v>
      </c>
      <c r="E6" s="64">
        <f>VLOOKUP(A6,GBOC!$E$7:$DG$29,$B$21,0)</f>
        <v>10</v>
      </c>
      <c r="F6" s="14">
        <f t="shared" si="28"/>
        <v>1.25</v>
      </c>
      <c r="G6" s="52">
        <f t="shared" si="29"/>
        <v>-2</v>
      </c>
      <c r="H6" s="140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52">
        <f t="shared" si="31"/>
        <v>1</v>
      </c>
      <c r="L6" s="140">
        <f>VLOOKUP(A6,'Giao CT'!$D$6:$S$20,5,0)</f>
        <v>5</v>
      </c>
      <c r="M6" s="64">
        <f>VLOOKUP(A6,GBOC!$E$7:$DG$29,$B$23,0)</f>
        <v>3</v>
      </c>
      <c r="N6" s="14">
        <f t="shared" si="32"/>
        <v>0.6</v>
      </c>
      <c r="O6" s="52">
        <f t="shared" si="33"/>
        <v>2</v>
      </c>
      <c r="P6" s="58">
        <f>VLOOKUP(A6,'Giao CT'!$D$6:$S$20,6,0)</f>
        <v>5</v>
      </c>
      <c r="Q6" s="64">
        <f>VLOOKUP(A6,GBOC!$E$7:$DG$29,$B$24,0)</f>
        <v>6</v>
      </c>
      <c r="R6" s="14">
        <f t="shared" si="34"/>
        <v>1.2</v>
      </c>
      <c r="S6" s="52">
        <f t="shared" si="35"/>
        <v>-1</v>
      </c>
      <c r="T6" s="58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50">
        <f t="shared" si="37"/>
        <v>1</v>
      </c>
      <c r="X6" s="58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52">
        <f t="shared" si="39"/>
        <v>0</v>
      </c>
      <c r="AB6" s="57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52">
        <f t="shared" si="41"/>
        <v>-30</v>
      </c>
      <c r="AF6" s="57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52">
        <f t="shared" si="43"/>
        <v>-2</v>
      </c>
      <c r="AJ6" s="57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7">
        <f t="shared" si="45"/>
        <v>1</v>
      </c>
      <c r="AN6" s="57">
        <f>VLOOKUP(A6,'Giao CT'!$D$6:$S$20,12,0)</f>
        <v>5</v>
      </c>
      <c r="AO6" s="13">
        <f>VLOOKUP(A6,GBOC!$E$7:$DG$29,$B$30,0)</f>
        <v>0</v>
      </c>
      <c r="AP6" s="14">
        <f t="shared" si="46"/>
        <v>2</v>
      </c>
      <c r="AQ6" s="67">
        <f t="shared" si="47"/>
        <v>2</v>
      </c>
      <c r="AR6" s="33">
        <v>0.97</v>
      </c>
      <c r="AS6" s="129">
        <f>(VLOOKUP(B6,cuoc!$B$7:$P$27,14,0))*1%</f>
        <v>0.69159999999999999</v>
      </c>
      <c r="AT6" s="14">
        <f t="shared" si="48"/>
        <v>0</v>
      </c>
      <c r="AU6" s="54">
        <f t="shared" si="49"/>
        <v>0.27839999999999998</v>
      </c>
      <c r="AV6" s="57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54">
        <f t="shared" si="51"/>
        <v>3</v>
      </c>
      <c r="AZ6" s="57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54">
        <f t="shared" si="53"/>
        <v>0</v>
      </c>
      <c r="BD6" s="57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54">
        <f t="shared" si="55"/>
        <v>0</v>
      </c>
    </row>
    <row r="7" spans="1:59" ht="15.4" x14ac:dyDescent="0.45">
      <c r="A7" s="138" t="s">
        <v>110</v>
      </c>
      <c r="B7" s="138" t="s">
        <v>109</v>
      </c>
      <c r="C7" s="138" t="s">
        <v>128</v>
      </c>
      <c r="D7" s="140">
        <f>VLOOKUP(A7,'Giao CT'!$D$6:$S$20,3,0)</f>
        <v>8</v>
      </c>
      <c r="E7" s="64">
        <f>VLOOKUP(A7,GBOC!$E$7:$DG$29,$B$21,0)</f>
        <v>8</v>
      </c>
      <c r="F7" s="14">
        <f t="shared" si="28"/>
        <v>1</v>
      </c>
      <c r="G7" s="52">
        <f t="shared" si="29"/>
        <v>0</v>
      </c>
      <c r="H7" s="140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52">
        <f t="shared" si="31"/>
        <v>2</v>
      </c>
      <c r="L7" s="140">
        <f>VLOOKUP(A7,'Giao CT'!$D$6:$S$20,5,0)</f>
        <v>5</v>
      </c>
      <c r="M7" s="64">
        <f>VLOOKUP(A7,GBOC!$E$7:$DG$29,$B$23,0)</f>
        <v>1</v>
      </c>
      <c r="N7" s="14">
        <f t="shared" si="32"/>
        <v>0.2</v>
      </c>
      <c r="O7" s="52">
        <f t="shared" si="33"/>
        <v>4</v>
      </c>
      <c r="P7" s="58">
        <f>VLOOKUP(A7,'Giao CT'!$D$6:$S$20,6,0)</f>
        <v>5</v>
      </c>
      <c r="Q7" s="64">
        <f>VLOOKUP(A7,GBOC!$E$7:$DG$29,$B$24,0)</f>
        <v>3</v>
      </c>
      <c r="R7" s="14">
        <f t="shared" si="34"/>
        <v>0.6</v>
      </c>
      <c r="S7" s="52">
        <f t="shared" si="35"/>
        <v>2</v>
      </c>
      <c r="T7" s="58">
        <f>VLOOKUP(A7,'Giao CT'!$D$6:$S$20,7,0)</f>
        <v>3</v>
      </c>
      <c r="U7" s="13">
        <f>VLOOKUP(A7,GBOC!$E$7:$DG$29,$B$25,0)</f>
        <v>1</v>
      </c>
      <c r="V7" s="14">
        <f t="shared" si="36"/>
        <v>0.33333333333333331</v>
      </c>
      <c r="W7" s="50">
        <f t="shared" si="37"/>
        <v>2</v>
      </c>
      <c r="X7" s="58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52">
        <f t="shared" si="39"/>
        <v>0</v>
      </c>
      <c r="AB7" s="57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52">
        <f t="shared" si="41"/>
        <v>17</v>
      </c>
      <c r="AF7" s="57">
        <f>VLOOKUP(A7,'Giao CT'!$D$6:$S$20,10,0)</f>
        <v>9</v>
      </c>
      <c r="AG7" s="13">
        <f>VLOOKUP(A7,GBOC!$E$7:$DG$29,$B$28,0)</f>
        <v>0</v>
      </c>
      <c r="AH7" s="14">
        <f t="shared" si="42"/>
        <v>0</v>
      </c>
      <c r="AI7" s="52">
        <f t="shared" si="43"/>
        <v>9</v>
      </c>
      <c r="AJ7" s="57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7">
        <f t="shared" si="45"/>
        <v>1</v>
      </c>
      <c r="AN7" s="57">
        <f>VLOOKUP(A7,'Giao CT'!$D$6:$S$20,12,0)</f>
        <v>5</v>
      </c>
      <c r="AO7" s="13">
        <f>VLOOKUP(A7,GBOC!$E$7:$DG$29,$B$30,0)</f>
        <v>2</v>
      </c>
      <c r="AP7" s="14">
        <f t="shared" si="46"/>
        <v>1.6</v>
      </c>
      <c r="AQ7" s="67">
        <f t="shared" si="47"/>
        <v>1.6</v>
      </c>
      <c r="AR7" s="33">
        <v>0.97</v>
      </c>
      <c r="AS7" s="129">
        <f>(VLOOKUP(B7,cuoc!$B$7:$P$27,14,0))*1%</f>
        <v>0.66079999999999994</v>
      </c>
      <c r="AT7" s="14">
        <f t="shared" si="48"/>
        <v>0</v>
      </c>
      <c r="AU7" s="54">
        <f t="shared" si="49"/>
        <v>0.30920000000000003</v>
      </c>
      <c r="AV7" s="57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54">
        <f t="shared" si="51"/>
        <v>2</v>
      </c>
      <c r="AZ7" s="57">
        <f>VLOOKUP(A7,'Giao CT'!$D$6:$S$20,15,0)</f>
        <v>1</v>
      </c>
      <c r="BA7" s="13">
        <f>VLOOKUP(A7,GBOC!$E$7:$DG$29,$B$33,0)</f>
        <v>0</v>
      </c>
      <c r="BB7" s="14">
        <f t="shared" si="52"/>
        <v>0</v>
      </c>
      <c r="BC7" s="54">
        <f t="shared" si="53"/>
        <v>1</v>
      </c>
      <c r="BD7" s="57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54">
        <f t="shared" si="55"/>
        <v>0</v>
      </c>
    </row>
    <row r="8" spans="1:59" ht="15.4" x14ac:dyDescent="0.45">
      <c r="A8" s="138" t="s">
        <v>117</v>
      </c>
      <c r="B8" s="138" t="s">
        <v>116</v>
      </c>
      <c r="C8" s="138" t="s">
        <v>128</v>
      </c>
      <c r="D8" s="140">
        <f>VLOOKUP(A8,'Giao CT'!$D$6:$S$20,3,0)</f>
        <v>8</v>
      </c>
      <c r="E8" s="64">
        <f>VLOOKUP(A8,GBOC!$E$7:$DG$29,$B$21,0)</f>
        <v>8</v>
      </c>
      <c r="F8" s="14">
        <f t="shared" si="28"/>
        <v>1</v>
      </c>
      <c r="G8" s="52">
        <f t="shared" si="29"/>
        <v>0</v>
      </c>
      <c r="H8" s="140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52">
        <f t="shared" si="31"/>
        <v>-2</v>
      </c>
      <c r="L8" s="140">
        <f>VLOOKUP(A8,'Giao CT'!$D$6:$S$20,5,0)</f>
        <v>5</v>
      </c>
      <c r="M8" s="64">
        <f>VLOOKUP(A8,GBOC!$E$7:$DG$29,$B$23,0)</f>
        <v>3</v>
      </c>
      <c r="N8" s="14">
        <f t="shared" si="32"/>
        <v>0.6</v>
      </c>
      <c r="O8" s="52">
        <f t="shared" si="33"/>
        <v>2</v>
      </c>
      <c r="P8" s="58">
        <f>VLOOKUP(A8,'Giao CT'!$D$6:$S$20,6,0)</f>
        <v>5</v>
      </c>
      <c r="Q8" s="64">
        <f>VLOOKUP(A8,GBOC!$E$7:$DG$29,$B$24,0)</f>
        <v>3</v>
      </c>
      <c r="R8" s="14">
        <f t="shared" si="34"/>
        <v>0.6</v>
      </c>
      <c r="S8" s="52">
        <f t="shared" si="35"/>
        <v>2</v>
      </c>
      <c r="T8" s="58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50">
        <f t="shared" si="37"/>
        <v>0</v>
      </c>
      <c r="X8" s="58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52">
        <f t="shared" si="39"/>
        <v>-1</v>
      </c>
      <c r="AB8" s="57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52">
        <f t="shared" si="41"/>
        <v>-31</v>
      </c>
      <c r="AF8" s="57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52">
        <f t="shared" si="43"/>
        <v>-2</v>
      </c>
      <c r="AJ8" s="57">
        <f>VLOOKUP(A8,'Giao CT'!$D$6:$S$20,11,0)</f>
        <v>4</v>
      </c>
      <c r="AK8" s="13">
        <f>VLOOKUP(B8,'TH NV'!$B$5:$BG$18,36,0)</f>
        <v>10</v>
      </c>
      <c r="AL8" s="14">
        <f t="shared" si="44"/>
        <v>-0.5</v>
      </c>
      <c r="AM8" s="67">
        <f t="shared" si="45"/>
        <v>0</v>
      </c>
      <c r="AN8" s="57">
        <f>VLOOKUP(A8,'Giao CT'!$D$6:$S$20,12,0)</f>
        <v>5</v>
      </c>
      <c r="AO8" s="13">
        <f>VLOOKUP(A8,GBOC!$E$7:$DG$29,$B$30,0)</f>
        <v>0</v>
      </c>
      <c r="AP8" s="14">
        <f t="shared" si="46"/>
        <v>2</v>
      </c>
      <c r="AQ8" s="67">
        <f t="shared" si="47"/>
        <v>2</v>
      </c>
      <c r="AR8" s="33">
        <v>0.97</v>
      </c>
      <c r="AS8" s="129">
        <f>(VLOOKUP(B8,cuoc!$B$7:$P$27,14,0))*1%</f>
        <v>0.7419</v>
      </c>
      <c r="AT8" s="14">
        <f t="shared" si="48"/>
        <v>0</v>
      </c>
      <c r="AU8" s="54">
        <f t="shared" si="49"/>
        <v>0.22809999999999997</v>
      </c>
      <c r="AV8" s="57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54">
        <f t="shared" si="51"/>
        <v>3</v>
      </c>
      <c r="AZ8" s="57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54">
        <f t="shared" si="53"/>
        <v>-1</v>
      </c>
      <c r="BD8" s="57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54">
        <f t="shared" si="55"/>
        <v>-2</v>
      </c>
    </row>
    <row r="9" spans="1:59" s="188" customFormat="1" ht="15.4" x14ac:dyDescent="0.45">
      <c r="A9" s="177"/>
      <c r="B9" s="177"/>
      <c r="C9" s="177"/>
      <c r="D9" s="178"/>
      <c r="E9" s="179"/>
      <c r="F9" s="180"/>
      <c r="G9" s="181"/>
      <c r="H9" s="178"/>
      <c r="I9" s="182"/>
      <c r="J9" s="180"/>
      <c r="K9" s="181"/>
      <c r="L9" s="178"/>
      <c r="M9" s="179"/>
      <c r="N9" s="180"/>
      <c r="O9" s="181"/>
      <c r="P9" s="183"/>
      <c r="Q9" s="179"/>
      <c r="R9" s="180"/>
      <c r="S9" s="181"/>
      <c r="T9" s="183"/>
      <c r="U9" s="182"/>
      <c r="V9" s="180"/>
      <c r="W9" s="181"/>
      <c r="X9" s="183"/>
      <c r="Y9" s="182"/>
      <c r="Z9" s="180"/>
      <c r="AA9" s="181"/>
      <c r="AB9" s="183"/>
      <c r="AC9" s="182"/>
      <c r="AD9" s="180"/>
      <c r="AE9" s="181"/>
      <c r="AF9" s="183"/>
      <c r="AG9" s="182"/>
      <c r="AH9" s="180"/>
      <c r="AI9" s="181"/>
      <c r="AJ9" s="183"/>
      <c r="AK9" s="182"/>
      <c r="AL9" s="180"/>
      <c r="AM9" s="184"/>
      <c r="AN9" s="183"/>
      <c r="AO9" s="182"/>
      <c r="AP9" s="180"/>
      <c r="AQ9" s="184"/>
      <c r="AR9" s="185"/>
      <c r="AS9" s="186"/>
      <c r="AT9" s="180"/>
      <c r="AU9" s="187"/>
      <c r="AV9" s="183"/>
      <c r="AW9" s="182"/>
      <c r="AX9" s="180"/>
      <c r="AY9" s="187"/>
      <c r="AZ9" s="183"/>
      <c r="BA9" s="182"/>
      <c r="BB9" s="180"/>
      <c r="BC9" s="187"/>
      <c r="BD9" s="183"/>
      <c r="BE9" s="182"/>
      <c r="BF9" s="180"/>
      <c r="BG9" s="187"/>
    </row>
    <row r="10" spans="1:59" ht="15.4" x14ac:dyDescent="0.45">
      <c r="A10" s="139" t="s">
        <v>72</v>
      </c>
      <c r="B10" s="139" t="s">
        <v>71</v>
      </c>
      <c r="C10" s="139" t="s">
        <v>129</v>
      </c>
      <c r="D10" s="140">
        <f>VLOOKUP(A10,'Giao CT'!$D$6:$S$20,3,0)</f>
        <v>7</v>
      </c>
      <c r="E10" s="64">
        <f>VLOOKUP(A10,GBOC!$E$7:$DG$29,$B$21,0)</f>
        <v>13</v>
      </c>
      <c r="F10" s="14">
        <f t="shared" si="28"/>
        <v>1.8571428571428572</v>
      </c>
      <c r="G10" s="52">
        <f t="shared" si="29"/>
        <v>-6</v>
      </c>
      <c r="H10" s="140">
        <f>VLOOKUP(A10,'Giao CT'!$D$6:$S$20,4,0)</f>
        <v>4</v>
      </c>
      <c r="I10" s="13">
        <f>VLOOKUP(A10,GBOC!$E$7:$DG$29,$B$22,0)</f>
        <v>4</v>
      </c>
      <c r="J10" s="14">
        <f t="shared" si="30"/>
        <v>1</v>
      </c>
      <c r="K10" s="52">
        <f t="shared" si="31"/>
        <v>0</v>
      </c>
      <c r="L10" s="140">
        <f>VLOOKUP(A10,'Giao CT'!$D$6:$S$20,5,0)</f>
        <v>5</v>
      </c>
      <c r="M10" s="64">
        <f>VLOOKUP(A10,GBOC!$E$7:$DG$29,$B$23,0)</f>
        <v>5</v>
      </c>
      <c r="N10" s="14">
        <f t="shared" si="32"/>
        <v>1</v>
      </c>
      <c r="O10" s="52">
        <f t="shared" si="33"/>
        <v>0</v>
      </c>
      <c r="P10" s="58">
        <f>VLOOKUP(A10,'Giao CT'!$D$6:$S$20,6,0)</f>
        <v>4</v>
      </c>
      <c r="Q10" s="64">
        <f>VLOOKUP(A10,GBOC!$E$7:$DG$29,$B$24,0)</f>
        <v>7</v>
      </c>
      <c r="R10" s="14">
        <f t="shared" si="34"/>
        <v>1.75</v>
      </c>
      <c r="S10" s="52">
        <f t="shared" si="35"/>
        <v>-3</v>
      </c>
      <c r="T10" s="58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50">
        <f t="shared" si="37"/>
        <v>0</v>
      </c>
      <c r="X10" s="58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52">
        <f t="shared" si="39"/>
        <v>-5</v>
      </c>
      <c r="AB10" s="57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52">
        <f t="shared" si="41"/>
        <v>-41</v>
      </c>
      <c r="AF10" s="57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52">
        <f t="shared" si="43"/>
        <v>-2</v>
      </c>
      <c r="AJ10" s="57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7">
        <f t="shared" si="45"/>
        <v>0</v>
      </c>
      <c r="AN10" s="57">
        <f>VLOOKUP(A10,'Giao CT'!$D$6:$S$20,12,0)</f>
        <v>5</v>
      </c>
      <c r="AO10" s="13">
        <f>VLOOKUP(A10,GBOC!$E$7:$DG$29,$B$30,0)</f>
        <v>2</v>
      </c>
      <c r="AP10" s="14">
        <f t="shared" si="46"/>
        <v>1.6</v>
      </c>
      <c r="AQ10" s="67">
        <f t="shared" si="47"/>
        <v>1.6</v>
      </c>
      <c r="AR10" s="33">
        <v>0.97</v>
      </c>
      <c r="AS10" s="129">
        <f>(VLOOKUP(B10,cuoc!$B$7:$P$27,14,0))*1%</f>
        <v>0.71310000000000007</v>
      </c>
      <c r="AT10" s="14">
        <f t="shared" si="48"/>
        <v>0</v>
      </c>
      <c r="AU10" s="54">
        <f t="shared" si="49"/>
        <v>0.25689999999999991</v>
      </c>
      <c r="AV10" s="57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54">
        <f t="shared" si="51"/>
        <v>3</v>
      </c>
      <c r="AZ10" s="57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54">
        <f t="shared" si="53"/>
        <v>1</v>
      </c>
      <c r="BD10" s="57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54">
        <f t="shared" si="55"/>
        <v>1</v>
      </c>
    </row>
    <row r="11" spans="1:59" ht="15.4" x14ac:dyDescent="0.45">
      <c r="A11" s="139" t="s">
        <v>75</v>
      </c>
      <c r="B11" s="139" t="s">
        <v>74</v>
      </c>
      <c r="C11" s="139" t="s">
        <v>129</v>
      </c>
      <c r="D11" s="140">
        <f>VLOOKUP(A11,'Giao CT'!$D$6:$S$20,3,0)</f>
        <v>7</v>
      </c>
      <c r="E11" s="64">
        <f>VLOOKUP(A11,GBOC!$E$7:$DG$29,$B$21,0)</f>
        <v>12</v>
      </c>
      <c r="F11" s="14">
        <f t="shared" si="28"/>
        <v>1.7142857142857142</v>
      </c>
      <c r="G11" s="52">
        <f t="shared" si="29"/>
        <v>-5</v>
      </c>
      <c r="H11" s="140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52">
        <f t="shared" si="31"/>
        <v>0</v>
      </c>
      <c r="L11" s="140">
        <f>VLOOKUP(A11,'Giao CT'!$D$6:$S$20,5,0)</f>
        <v>5</v>
      </c>
      <c r="M11" s="64">
        <f>VLOOKUP(A11,GBOC!$E$7:$DG$29,$B$23,0)</f>
        <v>5</v>
      </c>
      <c r="N11" s="14">
        <f t="shared" si="32"/>
        <v>1</v>
      </c>
      <c r="O11" s="52">
        <f t="shared" si="33"/>
        <v>0</v>
      </c>
      <c r="P11" s="58">
        <f>VLOOKUP(A11,'Giao CT'!$D$6:$S$20,6,0)</f>
        <v>4</v>
      </c>
      <c r="Q11" s="64">
        <f>VLOOKUP(A11,GBOC!$E$7:$DG$29,$B$24,0)</f>
        <v>3</v>
      </c>
      <c r="R11" s="14">
        <f t="shared" si="34"/>
        <v>0.75</v>
      </c>
      <c r="S11" s="52">
        <f t="shared" si="35"/>
        <v>1</v>
      </c>
      <c r="T11" s="58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50">
        <f t="shared" si="37"/>
        <v>-2</v>
      </c>
      <c r="X11" s="58">
        <f>VLOOKUP(A11,'Giao CT'!$D$6:$S$20,8,0)</f>
        <v>1</v>
      </c>
      <c r="Y11" s="13">
        <f>VLOOKUP(A11,GBOC!$E$7:$DG$29,$B$26,0)</f>
        <v>2</v>
      </c>
      <c r="Z11" s="14">
        <f t="shared" si="38"/>
        <v>2</v>
      </c>
      <c r="AA11" s="52">
        <f t="shared" si="39"/>
        <v>-1</v>
      </c>
      <c r="AB11" s="57">
        <f>VLOOKUP(A11,'Giao CT'!$D$6:$S$20,9,0)</f>
        <v>30</v>
      </c>
      <c r="AC11" s="13">
        <f>VLOOKUP(A11,GBOC!$E$7:$DG$29,$B$27,0)</f>
        <v>27</v>
      </c>
      <c r="AD11" s="14">
        <f t="shared" si="40"/>
        <v>0.9</v>
      </c>
      <c r="AE11" s="52">
        <f t="shared" si="41"/>
        <v>3</v>
      </c>
      <c r="AF11" s="57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52">
        <f t="shared" si="43"/>
        <v>-4</v>
      </c>
      <c r="AJ11" s="57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7">
        <f t="shared" si="45"/>
        <v>2</v>
      </c>
      <c r="AN11" s="57">
        <f>VLOOKUP(A11,'Giao CT'!$D$6:$S$20,12,0)</f>
        <v>5</v>
      </c>
      <c r="AO11" s="13">
        <f>VLOOKUP(A11,GBOC!$E$7:$DG$29,$B$30,0)</f>
        <v>0</v>
      </c>
      <c r="AP11" s="14">
        <f t="shared" si="46"/>
        <v>2</v>
      </c>
      <c r="AQ11" s="67">
        <f t="shared" si="47"/>
        <v>2</v>
      </c>
      <c r="AR11" s="33">
        <v>0.97</v>
      </c>
      <c r="AS11" s="129">
        <f>(VLOOKUP(B11,cuoc!$B$7:$P$27,14,0))*1%</f>
        <v>0.76590000000000003</v>
      </c>
      <c r="AT11" s="14">
        <f t="shared" si="48"/>
        <v>0</v>
      </c>
      <c r="AU11" s="54">
        <f t="shared" si="49"/>
        <v>0.20409999999999995</v>
      </c>
      <c r="AV11" s="57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54">
        <f t="shared" si="51"/>
        <v>2</v>
      </c>
      <c r="AZ11" s="57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54">
        <f t="shared" si="53"/>
        <v>1</v>
      </c>
      <c r="BD11" s="57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54">
        <f t="shared" si="55"/>
        <v>0</v>
      </c>
    </row>
    <row r="12" spans="1:59" ht="15.4" x14ac:dyDescent="0.45">
      <c r="A12" s="139" t="s">
        <v>78</v>
      </c>
      <c r="B12" s="139" t="s">
        <v>77</v>
      </c>
      <c r="C12" s="139" t="s">
        <v>129</v>
      </c>
      <c r="D12" s="140">
        <f>VLOOKUP(A12,'Giao CT'!$D$6:$S$20,3,0)</f>
        <v>7</v>
      </c>
      <c r="E12" s="64">
        <f>VLOOKUP(A12,GBOC!$E$7:$DG$29,$B$21,0)</f>
        <v>5</v>
      </c>
      <c r="F12" s="14">
        <f t="shared" si="28"/>
        <v>0.7142857142857143</v>
      </c>
      <c r="G12" s="52">
        <f t="shared" si="29"/>
        <v>2</v>
      </c>
      <c r="H12" s="140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52">
        <f t="shared" si="31"/>
        <v>-1</v>
      </c>
      <c r="L12" s="140">
        <f>VLOOKUP(A12,'Giao CT'!$D$6:$S$20,5,0)</f>
        <v>4</v>
      </c>
      <c r="M12" s="64">
        <f>VLOOKUP(A12,GBOC!$E$7:$DG$29,$B$23,0)</f>
        <v>2</v>
      </c>
      <c r="N12" s="14">
        <f t="shared" si="32"/>
        <v>0.5</v>
      </c>
      <c r="O12" s="52">
        <f t="shared" si="33"/>
        <v>2</v>
      </c>
      <c r="P12" s="58">
        <f>VLOOKUP(A12,'Giao CT'!$D$6:$S$20,6,0)</f>
        <v>4</v>
      </c>
      <c r="Q12" s="64">
        <f>VLOOKUP(A12,GBOC!$E$7:$DG$29,$B$24,0)</f>
        <v>3</v>
      </c>
      <c r="R12" s="14">
        <f t="shared" si="34"/>
        <v>0.75</v>
      </c>
      <c r="S12" s="52">
        <f t="shared" si="35"/>
        <v>1</v>
      </c>
      <c r="T12" s="58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50">
        <f t="shared" si="37"/>
        <v>3</v>
      </c>
      <c r="X12" s="58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52">
        <f t="shared" si="39"/>
        <v>1</v>
      </c>
      <c r="AB12" s="57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52">
        <f t="shared" si="41"/>
        <v>21</v>
      </c>
      <c r="AF12" s="57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52">
        <f t="shared" si="43"/>
        <v>8</v>
      </c>
      <c r="AJ12" s="57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7">
        <f t="shared" si="45"/>
        <v>0.75</v>
      </c>
      <c r="AN12" s="57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7">
        <f t="shared" si="47"/>
        <v>1.6666666666666667</v>
      </c>
      <c r="AR12" s="33">
        <v>0.97</v>
      </c>
      <c r="AS12" s="129">
        <f>(VLOOKUP(B12,cuoc!$B$7:$P$27,14,0))*1%</f>
        <v>0.64260000000000006</v>
      </c>
      <c r="AT12" s="14">
        <f t="shared" si="48"/>
        <v>0</v>
      </c>
      <c r="AU12" s="54">
        <f t="shared" si="49"/>
        <v>0.32739999999999991</v>
      </c>
      <c r="AV12" s="57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54">
        <f t="shared" si="51"/>
        <v>1</v>
      </c>
      <c r="AZ12" s="57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54">
        <f t="shared" si="53"/>
        <v>1</v>
      </c>
      <c r="BD12" s="57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54">
        <f t="shared" si="55"/>
        <v>0</v>
      </c>
    </row>
    <row r="13" spans="1:59" ht="15.4" x14ac:dyDescent="0.45">
      <c r="A13" s="139" t="s">
        <v>84</v>
      </c>
      <c r="B13" s="139" t="s">
        <v>83</v>
      </c>
      <c r="C13" s="139" t="s">
        <v>129</v>
      </c>
      <c r="D13" s="140">
        <f>VLOOKUP(A13,'Giao CT'!$D$6:$S$20,3,0)</f>
        <v>7</v>
      </c>
      <c r="E13" s="64">
        <f>VLOOKUP(A13,GBOC!$E$7:$DG$29,$B$21,0)</f>
        <v>5</v>
      </c>
      <c r="F13" s="14">
        <f t="shared" si="28"/>
        <v>0.7142857142857143</v>
      </c>
      <c r="G13" s="52">
        <f t="shared" si="29"/>
        <v>2</v>
      </c>
      <c r="H13" s="140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52">
        <f t="shared" si="31"/>
        <v>1</v>
      </c>
      <c r="L13" s="140">
        <f>VLOOKUP(A13,'Giao CT'!$D$6:$S$20,5,0)</f>
        <v>4</v>
      </c>
      <c r="M13" s="64">
        <f>VLOOKUP(A13,GBOC!$E$7:$DG$29,$B$23,0)</f>
        <v>1</v>
      </c>
      <c r="N13" s="14">
        <f t="shared" si="32"/>
        <v>0.25</v>
      </c>
      <c r="O13" s="52">
        <f t="shared" si="33"/>
        <v>3</v>
      </c>
      <c r="P13" s="58">
        <f>VLOOKUP(A13,'Giao CT'!$D$6:$S$20,6,0)</f>
        <v>4</v>
      </c>
      <c r="Q13" s="64">
        <f>VLOOKUP(A13,GBOC!$E$7:$DG$29,$B$24,0)</f>
        <v>2</v>
      </c>
      <c r="R13" s="14">
        <f t="shared" si="34"/>
        <v>0.5</v>
      </c>
      <c r="S13" s="52">
        <f t="shared" si="35"/>
        <v>2</v>
      </c>
      <c r="T13" s="58">
        <f>VLOOKUP(A13,'Giao CT'!$D$6:$S$20,7,0)</f>
        <v>3</v>
      </c>
      <c r="U13" s="13">
        <f>VLOOKUP(A13,GBOC!$E$7:$DG$29,$B$25,0)</f>
        <v>3</v>
      </c>
      <c r="V13" s="14">
        <f t="shared" si="36"/>
        <v>1</v>
      </c>
      <c r="W13" s="50">
        <f t="shared" si="37"/>
        <v>0</v>
      </c>
      <c r="X13" s="58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52">
        <f t="shared" si="39"/>
        <v>-2</v>
      </c>
      <c r="AB13" s="57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52">
        <f t="shared" si="41"/>
        <v>4</v>
      </c>
      <c r="AF13" s="57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52">
        <f t="shared" si="43"/>
        <v>5</v>
      </c>
      <c r="AJ13" s="57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7">
        <f t="shared" si="45"/>
        <v>1.25</v>
      </c>
      <c r="AN13" s="57">
        <f>VLOOKUP(A13,'Giao CT'!$D$6:$S$20,12,0)</f>
        <v>4</v>
      </c>
      <c r="AO13" s="13">
        <f>VLOOKUP(A13,GBOC!$E$7:$DG$29,$B$30,0)</f>
        <v>0</v>
      </c>
      <c r="AP13" s="14">
        <f t="shared" si="46"/>
        <v>2</v>
      </c>
      <c r="AQ13" s="67">
        <f t="shared" si="47"/>
        <v>2</v>
      </c>
      <c r="AR13" s="33">
        <v>0.97</v>
      </c>
      <c r="AS13" s="129">
        <f>(VLOOKUP(B13,cuoc!$B$7:$P$27,14,0))*1%</f>
        <v>0.7340000000000001</v>
      </c>
      <c r="AT13" s="14">
        <f t="shared" si="48"/>
        <v>0</v>
      </c>
      <c r="AU13" s="54">
        <f t="shared" si="49"/>
        <v>0.23599999999999988</v>
      </c>
      <c r="AV13" s="57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54">
        <f t="shared" si="51"/>
        <v>1</v>
      </c>
      <c r="AZ13" s="57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54">
        <f t="shared" si="53"/>
        <v>1</v>
      </c>
      <c r="BD13" s="57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54">
        <f t="shared" si="55"/>
        <v>0</v>
      </c>
    </row>
    <row r="14" spans="1:59" ht="15.4" x14ac:dyDescent="0.45">
      <c r="A14" s="139" t="s">
        <v>107</v>
      </c>
      <c r="B14" s="139" t="s">
        <v>106</v>
      </c>
      <c r="C14" s="139" t="s">
        <v>129</v>
      </c>
      <c r="D14" s="140">
        <f>VLOOKUP(A14,'Giao CT'!$D$6:$S$20,3,0)</f>
        <v>7</v>
      </c>
      <c r="E14" s="64">
        <f>VLOOKUP(A14,GBOC!$E$7:$DG$29,$B$21,0)</f>
        <v>6</v>
      </c>
      <c r="F14" s="14">
        <f t="shared" si="28"/>
        <v>0.8571428571428571</v>
      </c>
      <c r="G14" s="52">
        <f t="shared" si="29"/>
        <v>1</v>
      </c>
      <c r="H14" s="140">
        <f>VLOOKUP(A14,'Giao CT'!$D$6:$S$20,4,0)</f>
        <v>4</v>
      </c>
      <c r="I14" s="13">
        <f>VLOOKUP(A14,GBOC!$E$7:$DG$29,$B$22,0)</f>
        <v>9</v>
      </c>
      <c r="J14" s="14">
        <f t="shared" si="30"/>
        <v>2.25</v>
      </c>
      <c r="K14" s="52">
        <f t="shared" si="31"/>
        <v>-5</v>
      </c>
      <c r="L14" s="140">
        <f>VLOOKUP(A14,'Giao CT'!$D$6:$S$20,5,0)</f>
        <v>5</v>
      </c>
      <c r="M14" s="64">
        <f>VLOOKUP(A14,GBOC!$E$7:$DG$29,$B$23,0)</f>
        <v>3</v>
      </c>
      <c r="N14" s="14">
        <f t="shared" si="32"/>
        <v>0.6</v>
      </c>
      <c r="O14" s="52">
        <f t="shared" si="33"/>
        <v>2</v>
      </c>
      <c r="P14" s="58">
        <f>VLOOKUP(A14,'Giao CT'!$D$6:$S$20,6,0)</f>
        <v>4</v>
      </c>
      <c r="Q14" s="64">
        <f>VLOOKUP(A14,GBOC!$E$7:$DG$29,$B$24,0)</f>
        <v>6</v>
      </c>
      <c r="R14" s="14">
        <f t="shared" si="34"/>
        <v>1.5</v>
      </c>
      <c r="S14" s="52">
        <f t="shared" si="35"/>
        <v>-2</v>
      </c>
      <c r="T14" s="58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50">
        <f t="shared" si="37"/>
        <v>-1</v>
      </c>
      <c r="X14" s="58">
        <f>VLOOKUP(A14,'Giao CT'!$D$6:$S$20,8,0)</f>
        <v>1</v>
      </c>
      <c r="Y14" s="13">
        <f>VLOOKUP(A14,GBOC!$E$7:$DG$29,$B$26,0)</f>
        <v>9</v>
      </c>
      <c r="Z14" s="14">
        <f t="shared" si="38"/>
        <v>9</v>
      </c>
      <c r="AA14" s="52">
        <f t="shared" si="39"/>
        <v>-8</v>
      </c>
      <c r="AB14" s="57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52">
        <f t="shared" si="41"/>
        <v>-37</v>
      </c>
      <c r="AF14" s="57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52">
        <f t="shared" si="43"/>
        <v>0</v>
      </c>
      <c r="AJ14" s="57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7">
        <f t="shared" si="45"/>
        <v>0</v>
      </c>
      <c r="AN14" s="57">
        <f>VLOOKUP(A14,'Giao CT'!$D$6:$S$20,12,0)</f>
        <v>5</v>
      </c>
      <c r="AO14" s="13">
        <f>VLOOKUP(A14,GBOC!$E$7:$DG$29,$B$30,0)</f>
        <v>3</v>
      </c>
      <c r="AP14" s="14">
        <f t="shared" si="46"/>
        <v>1.4</v>
      </c>
      <c r="AQ14" s="67">
        <f t="shared" si="47"/>
        <v>1.4</v>
      </c>
      <c r="AR14" s="33">
        <v>0.97</v>
      </c>
      <c r="AS14" s="129">
        <f>(VLOOKUP(B14,cuoc!$B$7:$P$27,14,0))*1%</f>
        <v>0.79359999999999997</v>
      </c>
      <c r="AT14" s="14">
        <f t="shared" si="48"/>
        <v>0</v>
      </c>
      <c r="AU14" s="54">
        <f t="shared" si="49"/>
        <v>0.1764</v>
      </c>
      <c r="AV14" s="57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54">
        <f t="shared" si="51"/>
        <v>2</v>
      </c>
      <c r="AZ14" s="57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54">
        <f t="shared" si="53"/>
        <v>1</v>
      </c>
      <c r="BD14" s="57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54">
        <f t="shared" si="55"/>
        <v>-2</v>
      </c>
    </row>
    <row r="15" spans="1:59" ht="15.4" x14ac:dyDescent="0.45">
      <c r="A15" s="139" t="s">
        <v>113</v>
      </c>
      <c r="B15" s="139" t="s">
        <v>112</v>
      </c>
      <c r="C15" s="139" t="s">
        <v>129</v>
      </c>
      <c r="D15" s="140">
        <f>VLOOKUP(A15,'Giao CT'!$D$6:$S$20,3,0)</f>
        <v>7</v>
      </c>
      <c r="E15" s="64">
        <f>VLOOKUP(A15,GBOC!$E$7:$DG$29,$B$21,0)</f>
        <v>7</v>
      </c>
      <c r="F15" s="14">
        <f t="shared" si="28"/>
        <v>1</v>
      </c>
      <c r="G15" s="52">
        <f t="shared" si="29"/>
        <v>0</v>
      </c>
      <c r="H15" s="140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52">
        <f t="shared" si="31"/>
        <v>-1</v>
      </c>
      <c r="L15" s="140">
        <f>VLOOKUP(A15,'Giao CT'!$D$6:$S$20,5,0)</f>
        <v>5</v>
      </c>
      <c r="M15" s="64">
        <f>VLOOKUP(A15,GBOC!$E$7:$DG$29,$B$23,0)</f>
        <v>2</v>
      </c>
      <c r="N15" s="14">
        <f t="shared" si="32"/>
        <v>0.4</v>
      </c>
      <c r="O15" s="52">
        <f t="shared" si="33"/>
        <v>3</v>
      </c>
      <c r="P15" s="58">
        <f>VLOOKUP(A15,'Giao CT'!$D$6:$S$20,6,0)</f>
        <v>4</v>
      </c>
      <c r="Q15" s="64">
        <f>VLOOKUP(A15,GBOC!$E$7:$DG$29,$B$24,0)</f>
        <v>2</v>
      </c>
      <c r="R15" s="14">
        <f t="shared" si="34"/>
        <v>0.5</v>
      </c>
      <c r="S15" s="52">
        <f t="shared" si="35"/>
        <v>2</v>
      </c>
      <c r="T15" s="58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50">
        <f t="shared" si="37"/>
        <v>0</v>
      </c>
      <c r="X15" s="58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52">
        <f t="shared" si="39"/>
        <v>0</v>
      </c>
      <c r="AB15" s="57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52">
        <f t="shared" si="41"/>
        <v>-21</v>
      </c>
      <c r="AF15" s="57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52">
        <f t="shared" si="43"/>
        <v>3</v>
      </c>
      <c r="AJ15" s="57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7">
        <f t="shared" si="45"/>
        <v>1</v>
      </c>
      <c r="AN15" s="57">
        <f>VLOOKUP(A15,'Giao CT'!$D$6:$S$20,12,0)</f>
        <v>4</v>
      </c>
      <c r="AO15" s="13">
        <f>VLOOKUP(A15,GBOC!$E$7:$DG$29,$B$30,0)</f>
        <v>0</v>
      </c>
      <c r="AP15" s="14">
        <f t="shared" si="46"/>
        <v>2</v>
      </c>
      <c r="AQ15" s="67">
        <f t="shared" si="47"/>
        <v>2</v>
      </c>
      <c r="AR15" s="33">
        <v>0.97</v>
      </c>
      <c r="AS15" s="129">
        <f>(VLOOKUP(B15,cuoc!$B$7:$P$27,14,0))*1%</f>
        <v>0.6634000000000001</v>
      </c>
      <c r="AT15" s="14">
        <f t="shared" si="48"/>
        <v>0</v>
      </c>
      <c r="AU15" s="54">
        <f t="shared" si="49"/>
        <v>0.30659999999999987</v>
      </c>
      <c r="AV15" s="57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54">
        <f t="shared" si="51"/>
        <v>2</v>
      </c>
      <c r="AZ15" s="57">
        <f>VLOOKUP(A15,'Giao CT'!$D$6:$S$20,15,0)</f>
        <v>1</v>
      </c>
      <c r="BA15" s="13">
        <f>VLOOKUP(A15,GBOC!$E$7:$DG$29,$B$33,0)</f>
        <v>0</v>
      </c>
      <c r="BB15" s="14">
        <f t="shared" si="52"/>
        <v>0</v>
      </c>
      <c r="BC15" s="54">
        <f t="shared" si="53"/>
        <v>1</v>
      </c>
      <c r="BD15" s="57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54">
        <f t="shared" si="55"/>
        <v>0</v>
      </c>
    </row>
    <row r="16" spans="1:59" ht="15.4" x14ac:dyDescent="0.45">
      <c r="A16" s="139" t="s">
        <v>119</v>
      </c>
      <c r="B16" s="139" t="s">
        <v>118</v>
      </c>
      <c r="C16" s="139" t="s">
        <v>129</v>
      </c>
      <c r="D16" s="140">
        <f>VLOOKUP(A16,'Giao CT'!$D$6:$S$20,3,0)</f>
        <v>7</v>
      </c>
      <c r="E16" s="64">
        <f>VLOOKUP(A16,GBOC!$E$7:$DG$29,$B$21,0)</f>
        <v>11</v>
      </c>
      <c r="F16" s="14">
        <f t="shared" si="28"/>
        <v>1.5714285714285714</v>
      </c>
      <c r="G16" s="52">
        <f t="shared" si="29"/>
        <v>-4</v>
      </c>
      <c r="H16" s="140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52">
        <f t="shared" si="31"/>
        <v>-1</v>
      </c>
      <c r="L16" s="140">
        <f>VLOOKUP(A16,'Giao CT'!$D$6:$S$20,5,0)</f>
        <v>5</v>
      </c>
      <c r="M16" s="64">
        <f>VLOOKUP(A16,GBOC!$E$7:$DG$29,$B$23,0)</f>
        <v>4</v>
      </c>
      <c r="N16" s="14">
        <f t="shared" si="32"/>
        <v>0.8</v>
      </c>
      <c r="O16" s="52">
        <f t="shared" si="33"/>
        <v>1</v>
      </c>
      <c r="P16" s="58">
        <f>VLOOKUP(A16,'Giao CT'!$D$6:$S$20,6,0)</f>
        <v>4</v>
      </c>
      <c r="Q16" s="64">
        <f>VLOOKUP(A16,GBOC!$E$7:$DG$29,$B$24,0)</f>
        <v>5</v>
      </c>
      <c r="R16" s="14">
        <f t="shared" si="34"/>
        <v>1.25</v>
      </c>
      <c r="S16" s="52">
        <f t="shared" si="35"/>
        <v>-1</v>
      </c>
      <c r="T16" s="58">
        <f>VLOOKUP(A16,'Giao CT'!$D$6:$S$20,7,0)</f>
        <v>4</v>
      </c>
      <c r="U16" s="13">
        <f>VLOOKUP(A16,GBOC!$E$7:$DG$29,$B$25,0)</f>
        <v>8</v>
      </c>
      <c r="V16" s="14">
        <f t="shared" si="36"/>
        <v>2</v>
      </c>
      <c r="W16" s="50">
        <f t="shared" si="37"/>
        <v>-4</v>
      </c>
      <c r="X16" s="58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52">
        <f t="shared" si="39"/>
        <v>-20</v>
      </c>
      <c r="AB16" s="57">
        <f>VLOOKUP(A16,'Giao CT'!$D$6:$S$20,9,0)</f>
        <v>60</v>
      </c>
      <c r="AC16" s="13">
        <f>VLOOKUP(A16,GBOC!$E$7:$DG$29,$B$27,0)</f>
        <v>171</v>
      </c>
      <c r="AD16" s="14">
        <f t="shared" si="40"/>
        <v>2.85</v>
      </c>
      <c r="AE16" s="52">
        <f t="shared" si="41"/>
        <v>-111</v>
      </c>
      <c r="AF16" s="57">
        <f>VLOOKUP(A16,'Giao CT'!$D$6:$S$20,10,0)</f>
        <v>8</v>
      </c>
      <c r="AG16" s="13">
        <f>VLOOKUP(A16,GBOC!$E$7:$DG$29,$B$28,0)</f>
        <v>21</v>
      </c>
      <c r="AH16" s="14">
        <f t="shared" si="42"/>
        <v>2.625</v>
      </c>
      <c r="AI16" s="52">
        <f t="shared" si="43"/>
        <v>-13</v>
      </c>
      <c r="AJ16" s="57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7">
        <f t="shared" si="45"/>
        <v>1.25</v>
      </c>
      <c r="AN16" s="57">
        <f>VLOOKUP(A16,'Giao CT'!$D$6:$S$20,12,0)</f>
        <v>5</v>
      </c>
      <c r="AO16" s="13">
        <f>VLOOKUP(A16,GBOC!$E$7:$DG$29,$B$30,0)</f>
        <v>0</v>
      </c>
      <c r="AP16" s="14">
        <f t="shared" si="46"/>
        <v>2</v>
      </c>
      <c r="AQ16" s="67">
        <f t="shared" si="47"/>
        <v>2</v>
      </c>
      <c r="AR16" s="33">
        <v>0.97</v>
      </c>
      <c r="AS16" s="129">
        <f>(VLOOKUP(B16,cuoc!$B$7:$P$27,14,0))*1%</f>
        <v>0.77190000000000003</v>
      </c>
      <c r="AT16" s="14">
        <f t="shared" si="48"/>
        <v>0</v>
      </c>
      <c r="AU16" s="54">
        <f t="shared" si="49"/>
        <v>0.19809999999999994</v>
      </c>
      <c r="AV16" s="57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54">
        <f t="shared" si="51"/>
        <v>3</v>
      </c>
      <c r="AZ16" s="57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54">
        <f t="shared" si="53"/>
        <v>0</v>
      </c>
      <c r="BD16" s="57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54">
        <f t="shared" si="55"/>
        <v>-2</v>
      </c>
    </row>
    <row r="17" spans="1:17" ht="15.4" x14ac:dyDescent="0.45">
      <c r="B17" s="144"/>
      <c r="C17" s="144"/>
      <c r="D17" s="137"/>
      <c r="E17" s="137"/>
      <c r="H17" s="137"/>
      <c r="I17" s="137"/>
      <c r="M17" s="137"/>
    </row>
    <row r="18" spans="1:17" s="1" customFormat="1" ht="15.4" x14ac:dyDescent="0.45">
      <c r="B18" s="139" t="s">
        <v>130</v>
      </c>
      <c r="C18" s="139" t="s">
        <v>131</v>
      </c>
      <c r="D18" s="137"/>
      <c r="E18" s="137"/>
      <c r="H18" s="137"/>
      <c r="I18" s="137"/>
      <c r="L18" s="137"/>
      <c r="M18" s="137"/>
    </row>
    <row r="19" spans="1:17" ht="15.4" x14ac:dyDescent="0.45">
      <c r="A19" s="138" t="s">
        <v>128</v>
      </c>
      <c r="B19" s="142">
        <f ca="1">SUMIF(cuoc!A7:P27,'tiến độ'!A19,cuoc!I7:I27)</f>
        <v>643774867</v>
      </c>
      <c r="C19" s="142">
        <f ca="1">SUMIF(cuoc!A7:P27,'tiến độ'!A19,cuoc!M7:M27)</f>
        <v>465017488</v>
      </c>
      <c r="D19" s="142">
        <f ca="1">B19*0.968-C19</f>
        <v>158156583.25599992</v>
      </c>
      <c r="E19" s="137"/>
      <c r="H19" s="137"/>
      <c r="I19" s="137"/>
      <c r="M19" s="137"/>
    </row>
    <row r="20" spans="1:17" ht="15.4" x14ac:dyDescent="0.45">
      <c r="A20" s="139" t="s">
        <v>129</v>
      </c>
      <c r="B20" s="143">
        <f ca="1">SUMIF(cuoc!A8:P27,'tiến độ'!A20,cuoc!I8:I27)</f>
        <v>975190007</v>
      </c>
      <c r="C20" s="143">
        <f ca="1">SUMIF(cuoc!A8:P27,'tiến độ'!A20,cuoc!M8:M27)</f>
        <v>721476778</v>
      </c>
      <c r="D20" s="142">
        <f ca="1">B20*0.968-C20</f>
        <v>222507148.77600002</v>
      </c>
    </row>
    <row r="21" spans="1:17" x14ac:dyDescent="0.45">
      <c r="A21" s="118" t="s">
        <v>3</v>
      </c>
      <c r="B21" s="115" t="s">
        <v>264</v>
      </c>
      <c r="C21" s="115">
        <f t="shared" ref="C21:C30" si="56">B21-2</f>
        <v>5</v>
      </c>
      <c r="D21" s="115"/>
    </row>
    <row r="22" spans="1:17" x14ac:dyDescent="0.45">
      <c r="A22" s="118" t="s">
        <v>40</v>
      </c>
      <c r="B22" s="116">
        <v>15</v>
      </c>
      <c r="C22" s="115">
        <f t="shared" si="56"/>
        <v>13</v>
      </c>
      <c r="D22" s="115"/>
    </row>
    <row r="23" spans="1:17" ht="31.5" customHeight="1" x14ac:dyDescent="0.45">
      <c r="A23" s="118" t="s">
        <v>41</v>
      </c>
      <c r="B23" s="116">
        <v>55</v>
      </c>
      <c r="C23" s="115">
        <f t="shared" si="56"/>
        <v>53</v>
      </c>
      <c r="D23" s="115"/>
      <c r="Q23">
        <f>13/18</f>
        <v>0.72222222222222221</v>
      </c>
    </row>
    <row r="24" spans="1:17" x14ac:dyDescent="0.45">
      <c r="A24" s="23" t="s">
        <v>42</v>
      </c>
      <c r="B24" s="116">
        <v>87</v>
      </c>
      <c r="C24" s="115">
        <f t="shared" si="56"/>
        <v>85</v>
      </c>
      <c r="D24" s="115"/>
    </row>
    <row r="25" spans="1:17" x14ac:dyDescent="0.45">
      <c r="A25" s="119" t="s">
        <v>43</v>
      </c>
      <c r="B25" s="117">
        <v>95</v>
      </c>
      <c r="C25" s="115">
        <f t="shared" si="56"/>
        <v>93</v>
      </c>
      <c r="D25" s="115"/>
    </row>
    <row r="26" spans="1:17" x14ac:dyDescent="0.45">
      <c r="A26" s="119" t="s">
        <v>45</v>
      </c>
      <c r="B26" s="114">
        <v>103</v>
      </c>
      <c r="C26" s="115">
        <f t="shared" si="56"/>
        <v>101</v>
      </c>
      <c r="D26" s="115"/>
    </row>
    <row r="27" spans="1:17" x14ac:dyDescent="0.45">
      <c r="A27" s="119" t="s">
        <v>47</v>
      </c>
      <c r="B27" s="114">
        <v>47</v>
      </c>
      <c r="C27" s="115">
        <f t="shared" si="56"/>
        <v>45</v>
      </c>
      <c r="D27" s="115"/>
    </row>
    <row r="28" spans="1:17" x14ac:dyDescent="0.45">
      <c r="A28" s="119" t="s">
        <v>48</v>
      </c>
      <c r="B28" s="114">
        <v>79</v>
      </c>
      <c r="C28" s="115">
        <f t="shared" si="56"/>
        <v>77</v>
      </c>
      <c r="D28" s="115"/>
    </row>
    <row r="29" spans="1:17" x14ac:dyDescent="0.45">
      <c r="A29" s="114" t="s">
        <v>51</v>
      </c>
      <c r="B29" s="114">
        <v>39</v>
      </c>
      <c r="C29" s="115">
        <f t="shared" si="56"/>
        <v>37</v>
      </c>
      <c r="D29" s="115"/>
    </row>
    <row r="30" spans="1:17" x14ac:dyDescent="0.45">
      <c r="A30" s="114" t="s">
        <v>14</v>
      </c>
      <c r="B30" s="114">
        <v>31</v>
      </c>
      <c r="C30" s="115">
        <f t="shared" si="56"/>
        <v>29</v>
      </c>
      <c r="D30" s="115"/>
    </row>
    <row r="31" spans="1:17" x14ac:dyDescent="0.45">
      <c r="A31" s="114" t="s">
        <v>52</v>
      </c>
      <c r="B31" s="114"/>
      <c r="C31" s="115"/>
      <c r="D31" s="115"/>
    </row>
    <row r="32" spans="1:17" x14ac:dyDescent="0.45">
      <c r="A32" s="114" t="s">
        <v>16</v>
      </c>
      <c r="B32" s="114">
        <v>23</v>
      </c>
      <c r="C32" s="115">
        <f>B32-2</f>
        <v>21</v>
      </c>
      <c r="D32" s="115"/>
    </row>
    <row r="33" spans="1:4" x14ac:dyDescent="0.45">
      <c r="A33" s="114" t="s">
        <v>54</v>
      </c>
      <c r="B33" s="114">
        <v>71</v>
      </c>
      <c r="C33" s="115">
        <f>B33-2</f>
        <v>69</v>
      </c>
      <c r="D33" s="115"/>
    </row>
    <row r="34" spans="1:4" x14ac:dyDescent="0.45">
      <c r="A34" s="114" t="s">
        <v>55</v>
      </c>
      <c r="B34" s="114">
        <v>63</v>
      </c>
      <c r="C34" s="115">
        <f>B34-2</f>
        <v>61</v>
      </c>
      <c r="D34" s="115"/>
    </row>
  </sheetData>
  <mergeCells count="18">
    <mergeCell ref="D1:S1"/>
    <mergeCell ref="D2:G2"/>
    <mergeCell ref="H2:K2"/>
    <mergeCell ref="L2:O2"/>
    <mergeCell ref="P2:S2"/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29"/>
  <sheetViews>
    <sheetView topLeftCell="B1" workbookViewId="0">
      <selection activeCell="E7" sqref="E7:DG29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39" t="s">
        <v>267</v>
      </c>
      <c r="B1" s="240"/>
      <c r="C1" s="240"/>
      <c r="D1" s="240"/>
      <c r="E1" s="240"/>
      <c r="F1" s="240"/>
      <c r="G1" s="240"/>
      <c r="H1" s="240"/>
    </row>
    <row r="2" spans="1:111" x14ac:dyDescent="0.45">
      <c r="A2" s="241" t="s">
        <v>268</v>
      </c>
      <c r="B2" s="240"/>
      <c r="C2" s="240"/>
      <c r="D2" s="240"/>
      <c r="E2" s="240"/>
      <c r="F2" s="240"/>
      <c r="G2" s="240"/>
      <c r="H2" s="240"/>
    </row>
    <row r="3" spans="1:111" x14ac:dyDescent="0.45">
      <c r="A3" s="242" t="s">
        <v>269</v>
      </c>
      <c r="B3" s="240"/>
      <c r="C3" s="240"/>
      <c r="D3" s="240"/>
      <c r="E3" s="240"/>
      <c r="F3" s="240"/>
      <c r="G3" s="240"/>
      <c r="H3" s="240"/>
    </row>
    <row r="4" spans="1:111" ht="14.65" thickBot="1" x14ac:dyDescent="0.5">
      <c r="A4" s="153"/>
      <c r="B4" s="153"/>
      <c r="C4" s="153"/>
      <c r="D4" s="154" t="s">
        <v>154</v>
      </c>
      <c r="E4" s="153">
        <v>1</v>
      </c>
      <c r="F4" s="153">
        <v>2</v>
      </c>
      <c r="G4" s="153">
        <v>3</v>
      </c>
      <c r="H4" s="153">
        <v>4</v>
      </c>
      <c r="I4" s="153">
        <v>5</v>
      </c>
      <c r="J4" s="153">
        <v>6</v>
      </c>
      <c r="K4" s="153">
        <v>7</v>
      </c>
      <c r="L4" s="153">
        <v>8</v>
      </c>
      <c r="M4" s="153">
        <v>9</v>
      </c>
      <c r="N4" s="153">
        <v>10</v>
      </c>
      <c r="O4" s="153">
        <v>11</v>
      </c>
      <c r="P4" s="153">
        <v>12</v>
      </c>
      <c r="Q4" s="153">
        <v>13</v>
      </c>
      <c r="R4" s="153">
        <v>14</v>
      </c>
      <c r="S4" s="153">
        <v>15</v>
      </c>
      <c r="T4" s="153">
        <v>16</v>
      </c>
      <c r="U4" s="153">
        <v>17</v>
      </c>
      <c r="V4" s="153">
        <v>18</v>
      </c>
      <c r="W4" s="153">
        <v>19</v>
      </c>
      <c r="X4" s="153">
        <v>20</v>
      </c>
      <c r="Y4" s="153">
        <v>21</v>
      </c>
      <c r="Z4" s="153">
        <v>22</v>
      </c>
      <c r="AA4" s="153">
        <v>23</v>
      </c>
      <c r="AB4" s="153">
        <v>24</v>
      </c>
      <c r="AC4" s="153">
        <v>25</v>
      </c>
      <c r="AD4" s="153">
        <v>26</v>
      </c>
      <c r="AE4" s="153">
        <v>27</v>
      </c>
      <c r="AF4" s="153">
        <v>28</v>
      </c>
      <c r="AG4" s="153">
        <v>29</v>
      </c>
      <c r="AH4" s="153">
        <v>30</v>
      </c>
      <c r="AI4" s="153">
        <v>31</v>
      </c>
      <c r="AJ4" s="153">
        <v>32</v>
      </c>
      <c r="AK4" s="153">
        <v>33</v>
      </c>
      <c r="AL4" s="153">
        <v>34</v>
      </c>
      <c r="AM4" s="153">
        <v>35</v>
      </c>
      <c r="AN4" s="153">
        <v>36</v>
      </c>
      <c r="AO4" s="153">
        <v>37</v>
      </c>
      <c r="AP4" s="153">
        <v>38</v>
      </c>
      <c r="AQ4" s="153">
        <v>39</v>
      </c>
      <c r="AR4" s="153">
        <v>40</v>
      </c>
      <c r="AS4" s="153">
        <v>41</v>
      </c>
      <c r="AT4" s="153">
        <v>42</v>
      </c>
      <c r="AU4" s="153">
        <v>43</v>
      </c>
      <c r="AV4" s="153">
        <v>44</v>
      </c>
      <c r="AW4" s="153">
        <v>45</v>
      </c>
      <c r="AX4" s="153">
        <v>46</v>
      </c>
      <c r="AY4" s="153">
        <v>47</v>
      </c>
      <c r="AZ4" s="153">
        <v>48</v>
      </c>
      <c r="BA4" s="153">
        <v>49</v>
      </c>
      <c r="BB4" s="153">
        <v>50</v>
      </c>
      <c r="BC4" s="153">
        <v>51</v>
      </c>
      <c r="BD4" s="153">
        <v>52</v>
      </c>
      <c r="BE4" s="153">
        <v>53</v>
      </c>
      <c r="BF4" s="153">
        <v>54</v>
      </c>
      <c r="BG4" s="153">
        <v>55</v>
      </c>
      <c r="BH4" s="153">
        <v>56</v>
      </c>
      <c r="BI4" s="153">
        <v>57</v>
      </c>
      <c r="BJ4" s="153">
        <v>58</v>
      </c>
      <c r="BK4" s="153">
        <v>59</v>
      </c>
      <c r="BL4" s="153">
        <v>60</v>
      </c>
      <c r="BM4" s="153">
        <v>61</v>
      </c>
      <c r="BN4" s="153">
        <v>62</v>
      </c>
      <c r="BO4" s="153">
        <v>63</v>
      </c>
      <c r="BP4" s="153">
        <v>64</v>
      </c>
      <c r="BQ4" s="153">
        <v>65</v>
      </c>
      <c r="BR4" s="153">
        <v>66</v>
      </c>
      <c r="BS4" s="153">
        <v>67</v>
      </c>
      <c r="BT4" s="153">
        <v>68</v>
      </c>
      <c r="BU4" s="153">
        <v>69</v>
      </c>
      <c r="BV4" s="153">
        <v>70</v>
      </c>
      <c r="BW4" s="153">
        <v>71</v>
      </c>
      <c r="BX4" s="153">
        <v>72</v>
      </c>
      <c r="BY4" s="153">
        <v>73</v>
      </c>
      <c r="BZ4" s="153">
        <v>74</v>
      </c>
      <c r="CA4" s="153">
        <v>75</v>
      </c>
      <c r="CB4" s="153">
        <v>76</v>
      </c>
      <c r="CC4" s="153">
        <v>77</v>
      </c>
      <c r="CD4" s="153">
        <v>78</v>
      </c>
      <c r="CE4" s="153">
        <v>79</v>
      </c>
      <c r="CF4" s="153">
        <v>80</v>
      </c>
      <c r="CG4" s="153">
        <v>81</v>
      </c>
      <c r="CH4" s="153">
        <v>82</v>
      </c>
      <c r="CI4" s="153">
        <v>83</v>
      </c>
      <c r="CJ4" s="153">
        <v>84</v>
      </c>
      <c r="CK4" s="153">
        <v>85</v>
      </c>
      <c r="CL4" s="153">
        <v>86</v>
      </c>
      <c r="CM4" s="153">
        <v>87</v>
      </c>
      <c r="CN4" s="153">
        <v>88</v>
      </c>
      <c r="CO4" s="153">
        <v>89</v>
      </c>
      <c r="CP4" s="153">
        <v>90</v>
      </c>
      <c r="CQ4" s="153">
        <v>91</v>
      </c>
      <c r="CR4" s="153">
        <v>92</v>
      </c>
      <c r="CS4" s="153">
        <v>93</v>
      </c>
      <c r="CT4" s="153">
        <v>94</v>
      </c>
      <c r="CU4" s="153">
        <v>95</v>
      </c>
      <c r="CV4" s="153">
        <v>96</v>
      </c>
      <c r="CW4" s="153">
        <v>97</v>
      </c>
      <c r="CX4" s="153">
        <v>98</v>
      </c>
      <c r="CY4" s="153">
        <v>99</v>
      </c>
      <c r="CZ4" s="153">
        <v>100</v>
      </c>
      <c r="DA4" s="153">
        <v>101</v>
      </c>
      <c r="DB4" s="153">
        <v>102</v>
      </c>
      <c r="DC4" s="153">
        <v>103</v>
      </c>
      <c r="DD4" s="153">
        <v>104</v>
      </c>
      <c r="DE4" s="153">
        <v>105</v>
      </c>
      <c r="DF4" s="153">
        <v>106</v>
      </c>
      <c r="DG4" s="153">
        <v>107</v>
      </c>
    </row>
    <row r="5" spans="1:111" x14ac:dyDescent="0.45">
      <c r="A5" s="155"/>
      <c r="B5" s="156"/>
      <c r="C5" s="157"/>
      <c r="D5" s="156"/>
      <c r="E5" s="156"/>
      <c r="F5" s="156"/>
      <c r="G5" s="156"/>
      <c r="H5" s="236" t="s">
        <v>155</v>
      </c>
      <c r="I5" s="237"/>
      <c r="J5" s="237"/>
      <c r="K5" s="237"/>
      <c r="L5" s="237"/>
      <c r="M5" s="237"/>
      <c r="N5" s="237"/>
      <c r="O5" s="238"/>
      <c r="P5" s="236" t="s">
        <v>156</v>
      </c>
      <c r="Q5" s="237"/>
      <c r="R5" s="237"/>
      <c r="S5" s="237"/>
      <c r="T5" s="237"/>
      <c r="U5" s="237"/>
      <c r="V5" s="237"/>
      <c r="W5" s="238"/>
      <c r="X5" s="236" t="s">
        <v>157</v>
      </c>
      <c r="Y5" s="237"/>
      <c r="Z5" s="237"/>
      <c r="AA5" s="237"/>
      <c r="AB5" s="237"/>
      <c r="AC5" s="237"/>
      <c r="AD5" s="237"/>
      <c r="AE5" s="238"/>
      <c r="AF5" s="236" t="s">
        <v>158</v>
      </c>
      <c r="AG5" s="237"/>
      <c r="AH5" s="237"/>
      <c r="AI5" s="237"/>
      <c r="AJ5" s="237"/>
      <c r="AK5" s="237"/>
      <c r="AL5" s="237"/>
      <c r="AM5" s="238"/>
      <c r="AN5" s="236" t="s">
        <v>159</v>
      </c>
      <c r="AO5" s="237"/>
      <c r="AP5" s="237"/>
      <c r="AQ5" s="237"/>
      <c r="AR5" s="237"/>
      <c r="AS5" s="237"/>
      <c r="AT5" s="237"/>
      <c r="AU5" s="238"/>
      <c r="AV5" s="236" t="s">
        <v>160</v>
      </c>
      <c r="AW5" s="237"/>
      <c r="AX5" s="237"/>
      <c r="AY5" s="237"/>
      <c r="AZ5" s="237"/>
      <c r="BA5" s="237"/>
      <c r="BB5" s="237"/>
      <c r="BC5" s="238"/>
      <c r="BD5" s="236" t="s">
        <v>161</v>
      </c>
      <c r="BE5" s="237"/>
      <c r="BF5" s="237"/>
      <c r="BG5" s="237"/>
      <c r="BH5" s="237"/>
      <c r="BI5" s="237"/>
      <c r="BJ5" s="237"/>
      <c r="BK5" s="238"/>
      <c r="BL5" s="236" t="s">
        <v>162</v>
      </c>
      <c r="BM5" s="237"/>
      <c r="BN5" s="237"/>
      <c r="BO5" s="237"/>
      <c r="BP5" s="237"/>
      <c r="BQ5" s="237"/>
      <c r="BR5" s="237"/>
      <c r="BS5" s="238"/>
      <c r="BT5" s="236" t="s">
        <v>163</v>
      </c>
      <c r="BU5" s="237"/>
      <c r="BV5" s="237"/>
      <c r="BW5" s="237"/>
      <c r="BX5" s="237"/>
      <c r="BY5" s="237"/>
      <c r="BZ5" s="237"/>
      <c r="CA5" s="238"/>
      <c r="CB5" s="236" t="s">
        <v>164</v>
      </c>
      <c r="CC5" s="237"/>
      <c r="CD5" s="237"/>
      <c r="CE5" s="237"/>
      <c r="CF5" s="237"/>
      <c r="CG5" s="237"/>
      <c r="CH5" s="237"/>
      <c r="CI5" s="238"/>
      <c r="CJ5" s="236" t="s">
        <v>270</v>
      </c>
      <c r="CK5" s="237"/>
      <c r="CL5" s="237"/>
      <c r="CM5" s="237"/>
      <c r="CN5" s="237"/>
      <c r="CO5" s="237"/>
      <c r="CP5" s="237"/>
      <c r="CQ5" s="238"/>
      <c r="CR5" s="236" t="s">
        <v>165</v>
      </c>
      <c r="CS5" s="237"/>
      <c r="CT5" s="237"/>
      <c r="CU5" s="237"/>
      <c r="CV5" s="237"/>
      <c r="CW5" s="237"/>
      <c r="CX5" s="237"/>
      <c r="CY5" s="238"/>
      <c r="CZ5" s="236" t="s">
        <v>166</v>
      </c>
      <c r="DA5" s="237"/>
      <c r="DB5" s="237"/>
      <c r="DC5" s="237"/>
      <c r="DD5" s="237"/>
      <c r="DE5" s="237"/>
      <c r="DF5" s="237"/>
      <c r="DG5" s="238"/>
    </row>
    <row r="6" spans="1:111" ht="14.65" thickBot="1" x14ac:dyDescent="0.5">
      <c r="A6" s="158" t="s">
        <v>271</v>
      </c>
      <c r="B6" s="159" t="s">
        <v>272</v>
      </c>
      <c r="C6" s="160" t="s">
        <v>273</v>
      </c>
      <c r="D6" s="159" t="s">
        <v>274</v>
      </c>
      <c r="E6" s="159" t="s">
        <v>167</v>
      </c>
      <c r="F6" s="159" t="s">
        <v>168</v>
      </c>
      <c r="G6" s="159" t="s">
        <v>169</v>
      </c>
      <c r="H6" s="161" t="s">
        <v>170</v>
      </c>
      <c r="I6" s="161" t="s">
        <v>171</v>
      </c>
      <c r="J6" s="161" t="s">
        <v>172</v>
      </c>
      <c r="K6" s="161" t="s">
        <v>173</v>
      </c>
      <c r="L6" s="161" t="s">
        <v>174</v>
      </c>
      <c r="M6" s="161" t="s">
        <v>175</v>
      </c>
      <c r="N6" s="161" t="s">
        <v>176</v>
      </c>
      <c r="O6" s="161" t="s">
        <v>177</v>
      </c>
      <c r="P6" s="161" t="s">
        <v>170</v>
      </c>
      <c r="Q6" s="161" t="s">
        <v>171</v>
      </c>
      <c r="R6" s="161" t="s">
        <v>172</v>
      </c>
      <c r="S6" s="161" t="s">
        <v>173</v>
      </c>
      <c r="T6" s="161" t="s">
        <v>174</v>
      </c>
      <c r="U6" s="161" t="s">
        <v>175</v>
      </c>
      <c r="V6" s="161" t="s">
        <v>176</v>
      </c>
      <c r="W6" s="161" t="s">
        <v>177</v>
      </c>
      <c r="X6" s="161" t="s">
        <v>170</v>
      </c>
      <c r="Y6" s="161" t="s">
        <v>171</v>
      </c>
      <c r="Z6" s="161" t="s">
        <v>172</v>
      </c>
      <c r="AA6" s="161" t="s">
        <v>173</v>
      </c>
      <c r="AB6" s="161" t="s">
        <v>174</v>
      </c>
      <c r="AC6" s="161" t="s">
        <v>175</v>
      </c>
      <c r="AD6" s="161" t="s">
        <v>176</v>
      </c>
      <c r="AE6" s="161" t="s">
        <v>177</v>
      </c>
      <c r="AF6" s="161" t="s">
        <v>170</v>
      </c>
      <c r="AG6" s="161" t="s">
        <v>171</v>
      </c>
      <c r="AH6" s="161" t="s">
        <v>172</v>
      </c>
      <c r="AI6" s="161" t="s">
        <v>173</v>
      </c>
      <c r="AJ6" s="161" t="s">
        <v>174</v>
      </c>
      <c r="AK6" s="161" t="s">
        <v>175</v>
      </c>
      <c r="AL6" s="161" t="s">
        <v>176</v>
      </c>
      <c r="AM6" s="161" t="s">
        <v>177</v>
      </c>
      <c r="AN6" s="161" t="s">
        <v>170</v>
      </c>
      <c r="AO6" s="161" t="s">
        <v>171</v>
      </c>
      <c r="AP6" s="161" t="s">
        <v>172</v>
      </c>
      <c r="AQ6" s="161" t="s">
        <v>173</v>
      </c>
      <c r="AR6" s="161" t="s">
        <v>174</v>
      </c>
      <c r="AS6" s="161" t="s">
        <v>175</v>
      </c>
      <c r="AT6" s="161" t="s">
        <v>176</v>
      </c>
      <c r="AU6" s="161" t="s">
        <v>177</v>
      </c>
      <c r="AV6" s="161" t="s">
        <v>170</v>
      </c>
      <c r="AW6" s="161" t="s">
        <v>171</v>
      </c>
      <c r="AX6" s="161" t="s">
        <v>172</v>
      </c>
      <c r="AY6" s="161" t="s">
        <v>173</v>
      </c>
      <c r="AZ6" s="161" t="s">
        <v>174</v>
      </c>
      <c r="BA6" s="161" t="s">
        <v>175</v>
      </c>
      <c r="BB6" s="161" t="s">
        <v>176</v>
      </c>
      <c r="BC6" s="161" t="s">
        <v>177</v>
      </c>
      <c r="BD6" s="161" t="s">
        <v>170</v>
      </c>
      <c r="BE6" s="161" t="s">
        <v>171</v>
      </c>
      <c r="BF6" s="161" t="s">
        <v>172</v>
      </c>
      <c r="BG6" s="161" t="s">
        <v>173</v>
      </c>
      <c r="BH6" s="161" t="s">
        <v>174</v>
      </c>
      <c r="BI6" s="161" t="s">
        <v>175</v>
      </c>
      <c r="BJ6" s="161" t="s">
        <v>176</v>
      </c>
      <c r="BK6" s="161" t="s">
        <v>177</v>
      </c>
      <c r="BL6" s="161" t="s">
        <v>170</v>
      </c>
      <c r="BM6" s="161" t="s">
        <v>171</v>
      </c>
      <c r="BN6" s="161" t="s">
        <v>172</v>
      </c>
      <c r="BO6" s="161" t="s">
        <v>173</v>
      </c>
      <c r="BP6" s="161" t="s">
        <v>174</v>
      </c>
      <c r="BQ6" s="161" t="s">
        <v>175</v>
      </c>
      <c r="BR6" s="161" t="s">
        <v>176</v>
      </c>
      <c r="BS6" s="161" t="s">
        <v>177</v>
      </c>
      <c r="BT6" s="161" t="s">
        <v>170</v>
      </c>
      <c r="BU6" s="161" t="s">
        <v>171</v>
      </c>
      <c r="BV6" s="161" t="s">
        <v>172</v>
      </c>
      <c r="BW6" s="161" t="s">
        <v>173</v>
      </c>
      <c r="BX6" s="161" t="s">
        <v>174</v>
      </c>
      <c r="BY6" s="161" t="s">
        <v>175</v>
      </c>
      <c r="BZ6" s="161" t="s">
        <v>176</v>
      </c>
      <c r="CA6" s="161" t="s">
        <v>177</v>
      </c>
      <c r="CB6" s="161" t="s">
        <v>170</v>
      </c>
      <c r="CC6" s="161" t="s">
        <v>171</v>
      </c>
      <c r="CD6" s="161" t="s">
        <v>172</v>
      </c>
      <c r="CE6" s="161" t="s">
        <v>173</v>
      </c>
      <c r="CF6" s="161" t="s">
        <v>174</v>
      </c>
      <c r="CG6" s="161" t="s">
        <v>175</v>
      </c>
      <c r="CH6" s="161" t="s">
        <v>176</v>
      </c>
      <c r="CI6" s="161" t="s">
        <v>177</v>
      </c>
      <c r="CJ6" s="161" t="s">
        <v>170</v>
      </c>
      <c r="CK6" s="161" t="s">
        <v>171</v>
      </c>
      <c r="CL6" s="161" t="s">
        <v>172</v>
      </c>
      <c r="CM6" s="161" t="s">
        <v>173</v>
      </c>
      <c r="CN6" s="161" t="s">
        <v>174</v>
      </c>
      <c r="CO6" s="161" t="s">
        <v>175</v>
      </c>
      <c r="CP6" s="161" t="s">
        <v>176</v>
      </c>
      <c r="CQ6" s="161" t="s">
        <v>177</v>
      </c>
      <c r="CR6" s="161" t="s">
        <v>170</v>
      </c>
      <c r="CS6" s="161" t="s">
        <v>171</v>
      </c>
      <c r="CT6" s="161" t="s">
        <v>172</v>
      </c>
      <c r="CU6" s="161" t="s">
        <v>173</v>
      </c>
      <c r="CV6" s="161" t="s">
        <v>174</v>
      </c>
      <c r="CW6" s="161" t="s">
        <v>175</v>
      </c>
      <c r="CX6" s="161" t="s">
        <v>176</v>
      </c>
      <c r="CY6" s="161" t="s">
        <v>177</v>
      </c>
      <c r="CZ6" s="161" t="s">
        <v>170</v>
      </c>
      <c r="DA6" s="161" t="s">
        <v>171</v>
      </c>
      <c r="DB6" s="161" t="s">
        <v>172</v>
      </c>
      <c r="DC6" s="161" t="s">
        <v>173</v>
      </c>
      <c r="DD6" s="161" t="s">
        <v>174</v>
      </c>
      <c r="DE6" s="161" t="s">
        <v>175</v>
      </c>
      <c r="DF6" s="161" t="s">
        <v>176</v>
      </c>
      <c r="DG6" s="162" t="s">
        <v>177</v>
      </c>
    </row>
    <row r="7" spans="1:111" ht="14.65" thickBot="1" x14ac:dyDescent="0.5">
      <c r="A7" s="163" t="s">
        <v>275</v>
      </c>
      <c r="B7" s="164" t="s">
        <v>276</v>
      </c>
      <c r="C7" s="164" t="s">
        <v>277</v>
      </c>
      <c r="D7" s="164" t="s">
        <v>278</v>
      </c>
      <c r="E7" s="196" t="s">
        <v>69</v>
      </c>
      <c r="F7" s="196" t="s">
        <v>178</v>
      </c>
      <c r="G7" s="196" t="s">
        <v>179</v>
      </c>
      <c r="H7" s="197">
        <v>6</v>
      </c>
      <c r="I7" s="197">
        <v>7</v>
      </c>
      <c r="J7" s="197">
        <v>0</v>
      </c>
      <c r="K7" s="197">
        <v>12</v>
      </c>
      <c r="L7" s="197">
        <v>208.7</v>
      </c>
      <c r="M7" s="197">
        <v>171.43</v>
      </c>
      <c r="N7" s="197">
        <v>0</v>
      </c>
      <c r="O7" s="197">
        <v>100</v>
      </c>
      <c r="P7" s="197">
        <v>3</v>
      </c>
      <c r="Q7" s="197">
        <v>4</v>
      </c>
      <c r="R7" s="197">
        <v>0</v>
      </c>
      <c r="S7" s="197">
        <v>6</v>
      </c>
      <c r="T7" s="197">
        <v>182.61</v>
      </c>
      <c r="U7" s="197">
        <v>150</v>
      </c>
      <c r="V7" s="197">
        <v>0</v>
      </c>
      <c r="W7" s="197">
        <v>100</v>
      </c>
      <c r="X7" s="197">
        <v>2</v>
      </c>
      <c r="Y7" s="197">
        <v>2</v>
      </c>
      <c r="Z7" s="197">
        <v>0</v>
      </c>
      <c r="AA7" s="197">
        <v>0</v>
      </c>
      <c r="AB7" s="197">
        <v>0</v>
      </c>
      <c r="AC7" s="197">
        <v>0</v>
      </c>
      <c r="AD7" s="197">
        <v>0</v>
      </c>
      <c r="AE7" s="197">
        <v>100</v>
      </c>
      <c r="AF7" s="197">
        <v>3</v>
      </c>
      <c r="AG7" s="197">
        <v>4</v>
      </c>
      <c r="AH7" s="197">
        <v>0</v>
      </c>
      <c r="AI7" s="197">
        <v>1</v>
      </c>
      <c r="AJ7" s="197">
        <v>169.57</v>
      </c>
      <c r="AK7" s="197">
        <v>175</v>
      </c>
      <c r="AL7" s="197">
        <v>0</v>
      </c>
      <c r="AM7" s="197">
        <v>100</v>
      </c>
      <c r="AN7" s="197">
        <v>3</v>
      </c>
      <c r="AO7" s="197">
        <v>4</v>
      </c>
      <c r="AP7" s="197">
        <v>0</v>
      </c>
      <c r="AQ7" s="197">
        <v>0</v>
      </c>
      <c r="AR7" s="197">
        <v>0</v>
      </c>
      <c r="AS7" s="197">
        <v>0</v>
      </c>
      <c r="AT7" s="197">
        <v>0</v>
      </c>
      <c r="AU7" s="197">
        <v>100</v>
      </c>
      <c r="AV7" s="197">
        <v>29</v>
      </c>
      <c r="AW7" s="197">
        <v>35</v>
      </c>
      <c r="AX7" s="197">
        <v>0</v>
      </c>
      <c r="AY7" s="197">
        <v>37</v>
      </c>
      <c r="AZ7" s="197">
        <v>128.69999999999999</v>
      </c>
      <c r="BA7" s="197">
        <v>105.71</v>
      </c>
      <c r="BB7" s="197">
        <v>0</v>
      </c>
      <c r="BC7" s="197">
        <v>100</v>
      </c>
      <c r="BD7" s="197">
        <v>4</v>
      </c>
      <c r="BE7" s="197">
        <v>5</v>
      </c>
      <c r="BF7" s="197">
        <v>1</v>
      </c>
      <c r="BG7" s="197">
        <v>4</v>
      </c>
      <c r="BH7" s="197">
        <v>97.39</v>
      </c>
      <c r="BI7" s="197">
        <v>80</v>
      </c>
      <c r="BJ7" s="197">
        <v>0</v>
      </c>
      <c r="BK7" s="197">
        <v>100</v>
      </c>
      <c r="BL7" s="197">
        <v>0</v>
      </c>
      <c r="BM7" s="197">
        <v>0</v>
      </c>
      <c r="BN7" s="197">
        <v>0</v>
      </c>
      <c r="BO7" s="197">
        <v>0</v>
      </c>
      <c r="BP7" s="197">
        <v>100</v>
      </c>
      <c r="BQ7" s="197">
        <v>100</v>
      </c>
      <c r="BR7" s="197">
        <v>0</v>
      </c>
      <c r="BS7" s="197">
        <v>100</v>
      </c>
      <c r="BT7" s="197">
        <v>1</v>
      </c>
      <c r="BU7" s="197">
        <v>1</v>
      </c>
      <c r="BV7" s="197">
        <v>1</v>
      </c>
      <c r="BW7" s="197">
        <v>1</v>
      </c>
      <c r="BX7" s="197">
        <v>121.74</v>
      </c>
      <c r="BY7" s="197">
        <v>100</v>
      </c>
      <c r="BZ7" s="197">
        <v>0</v>
      </c>
      <c r="CA7" s="197">
        <v>100</v>
      </c>
      <c r="CB7" s="197">
        <v>7</v>
      </c>
      <c r="CC7" s="197">
        <v>8</v>
      </c>
      <c r="CD7" s="197">
        <v>0</v>
      </c>
      <c r="CE7" s="197">
        <v>5</v>
      </c>
      <c r="CF7" s="197">
        <v>76.09</v>
      </c>
      <c r="CG7" s="197">
        <v>62.5</v>
      </c>
      <c r="CH7" s="197">
        <v>0</v>
      </c>
      <c r="CI7" s="197">
        <v>100</v>
      </c>
      <c r="CJ7" s="197">
        <v>3</v>
      </c>
      <c r="CK7" s="197">
        <v>4</v>
      </c>
      <c r="CL7" s="197">
        <v>0</v>
      </c>
      <c r="CM7" s="197">
        <v>9</v>
      </c>
      <c r="CN7" s="197">
        <v>273.91000000000003</v>
      </c>
      <c r="CO7" s="197">
        <v>225</v>
      </c>
      <c r="CP7" s="197">
        <v>0</v>
      </c>
      <c r="CQ7" s="197">
        <v>100</v>
      </c>
      <c r="CR7" s="197">
        <v>3</v>
      </c>
      <c r="CS7" s="197">
        <v>4</v>
      </c>
      <c r="CT7" s="197">
        <v>0</v>
      </c>
      <c r="CU7" s="197">
        <v>5</v>
      </c>
      <c r="CV7" s="197">
        <v>152.16999999999999</v>
      </c>
      <c r="CW7" s="197">
        <v>125</v>
      </c>
      <c r="CX7" s="197">
        <v>0</v>
      </c>
      <c r="CY7" s="197">
        <v>100</v>
      </c>
      <c r="CZ7" s="197">
        <v>1</v>
      </c>
      <c r="DA7" s="197">
        <v>1</v>
      </c>
      <c r="DB7" s="197">
        <v>0</v>
      </c>
      <c r="DC7" s="197">
        <v>6</v>
      </c>
      <c r="DD7" s="197">
        <v>730.43</v>
      </c>
      <c r="DE7" s="197">
        <v>600</v>
      </c>
      <c r="DF7" s="197">
        <v>1</v>
      </c>
      <c r="DG7" s="197">
        <v>500</v>
      </c>
    </row>
    <row r="8" spans="1:111" ht="14.65" thickBot="1" x14ac:dyDescent="0.5">
      <c r="A8" s="163" t="s">
        <v>275</v>
      </c>
      <c r="B8" s="164" t="s">
        <v>276</v>
      </c>
      <c r="C8" s="164" t="s">
        <v>277</v>
      </c>
      <c r="D8" s="164" t="s">
        <v>278</v>
      </c>
      <c r="E8" s="196" t="s">
        <v>72</v>
      </c>
      <c r="F8" s="196" t="s">
        <v>180</v>
      </c>
      <c r="G8" s="196" t="s">
        <v>129</v>
      </c>
      <c r="H8" s="197">
        <v>6</v>
      </c>
      <c r="I8" s="197">
        <v>7</v>
      </c>
      <c r="J8" s="197">
        <v>0</v>
      </c>
      <c r="K8" s="197">
        <v>13</v>
      </c>
      <c r="L8" s="197">
        <v>226.09</v>
      </c>
      <c r="M8" s="197">
        <v>185.71</v>
      </c>
      <c r="N8" s="197">
        <v>0</v>
      </c>
      <c r="O8" s="197">
        <v>100</v>
      </c>
      <c r="P8" s="197">
        <v>3</v>
      </c>
      <c r="Q8" s="197">
        <v>4</v>
      </c>
      <c r="R8" s="197">
        <v>0</v>
      </c>
      <c r="S8" s="197">
        <v>4</v>
      </c>
      <c r="T8" s="197">
        <v>121.74</v>
      </c>
      <c r="U8" s="197">
        <v>100</v>
      </c>
      <c r="V8" s="197">
        <v>0</v>
      </c>
      <c r="W8" s="197">
        <v>100</v>
      </c>
      <c r="X8" s="197">
        <v>2</v>
      </c>
      <c r="Y8" s="197">
        <v>3</v>
      </c>
      <c r="Z8" s="197">
        <v>0</v>
      </c>
      <c r="AA8" s="197">
        <v>0</v>
      </c>
      <c r="AB8" s="197">
        <v>0</v>
      </c>
      <c r="AC8" s="197">
        <v>0</v>
      </c>
      <c r="AD8" s="197">
        <v>0</v>
      </c>
      <c r="AE8" s="197">
        <v>100</v>
      </c>
      <c r="AF8" s="197">
        <v>4</v>
      </c>
      <c r="AG8" s="197">
        <v>5</v>
      </c>
      <c r="AH8" s="197">
        <v>0</v>
      </c>
      <c r="AI8" s="197">
        <v>2</v>
      </c>
      <c r="AJ8" s="197">
        <v>151.30000000000001</v>
      </c>
      <c r="AK8" s="197">
        <v>160</v>
      </c>
      <c r="AL8" s="197">
        <v>5</v>
      </c>
      <c r="AM8" s="197">
        <v>-60</v>
      </c>
      <c r="AN8" s="197">
        <v>3</v>
      </c>
      <c r="AO8" s="197">
        <v>4</v>
      </c>
      <c r="AP8" s="197">
        <v>0</v>
      </c>
      <c r="AQ8" s="197">
        <v>0</v>
      </c>
      <c r="AR8" s="197">
        <v>0</v>
      </c>
      <c r="AS8" s="197">
        <v>0</v>
      </c>
      <c r="AT8" s="197">
        <v>0</v>
      </c>
      <c r="AU8" s="197">
        <v>100</v>
      </c>
      <c r="AV8" s="197">
        <v>25</v>
      </c>
      <c r="AW8" s="197">
        <v>30</v>
      </c>
      <c r="AX8" s="197">
        <v>0</v>
      </c>
      <c r="AY8" s="197">
        <v>71</v>
      </c>
      <c r="AZ8" s="197">
        <v>288.12</v>
      </c>
      <c r="BA8" s="197">
        <v>236.67</v>
      </c>
      <c r="BB8" s="197">
        <v>3</v>
      </c>
      <c r="BC8" s="197">
        <v>2266.67</v>
      </c>
      <c r="BD8" s="197">
        <v>4</v>
      </c>
      <c r="BE8" s="197">
        <v>5</v>
      </c>
      <c r="BF8" s="197">
        <v>1</v>
      </c>
      <c r="BG8" s="197">
        <v>5</v>
      </c>
      <c r="BH8" s="197">
        <v>121.74</v>
      </c>
      <c r="BI8" s="197">
        <v>100</v>
      </c>
      <c r="BJ8" s="197">
        <v>0</v>
      </c>
      <c r="BK8" s="197">
        <v>100</v>
      </c>
      <c r="BL8" s="197">
        <v>1</v>
      </c>
      <c r="BM8" s="197">
        <v>1</v>
      </c>
      <c r="BN8" s="197">
        <v>0</v>
      </c>
      <c r="BO8" s="197">
        <v>0</v>
      </c>
      <c r="BP8" s="197">
        <v>0</v>
      </c>
      <c r="BQ8" s="197">
        <v>0</v>
      </c>
      <c r="BR8" s="197">
        <v>0</v>
      </c>
      <c r="BS8" s="197">
        <v>100</v>
      </c>
      <c r="BT8" s="197">
        <v>1</v>
      </c>
      <c r="BU8" s="197">
        <v>1</v>
      </c>
      <c r="BV8" s="197">
        <v>0</v>
      </c>
      <c r="BW8" s="197">
        <v>0</v>
      </c>
      <c r="BX8" s="197">
        <v>0</v>
      </c>
      <c r="BY8" s="197">
        <v>0</v>
      </c>
      <c r="BZ8" s="197">
        <v>0</v>
      </c>
      <c r="CA8" s="197">
        <v>100</v>
      </c>
      <c r="CB8" s="197">
        <v>7</v>
      </c>
      <c r="CC8" s="197">
        <v>8</v>
      </c>
      <c r="CD8" s="197">
        <v>0</v>
      </c>
      <c r="CE8" s="197">
        <v>10</v>
      </c>
      <c r="CF8" s="197">
        <v>152.16999999999999</v>
      </c>
      <c r="CG8" s="197">
        <v>125</v>
      </c>
      <c r="CH8" s="197">
        <v>0</v>
      </c>
      <c r="CI8" s="197">
        <v>100</v>
      </c>
      <c r="CJ8" s="197">
        <v>3</v>
      </c>
      <c r="CK8" s="197">
        <v>4</v>
      </c>
      <c r="CL8" s="197">
        <v>0</v>
      </c>
      <c r="CM8" s="197">
        <v>7</v>
      </c>
      <c r="CN8" s="197">
        <v>213.04</v>
      </c>
      <c r="CO8" s="197">
        <v>175</v>
      </c>
      <c r="CP8" s="197">
        <v>0</v>
      </c>
      <c r="CQ8" s="197">
        <v>100</v>
      </c>
      <c r="CR8" s="197">
        <v>3</v>
      </c>
      <c r="CS8" s="197">
        <v>4</v>
      </c>
      <c r="CT8" s="197">
        <v>0</v>
      </c>
      <c r="CU8" s="197">
        <v>4</v>
      </c>
      <c r="CV8" s="197">
        <v>121.74</v>
      </c>
      <c r="CW8" s="197">
        <v>100</v>
      </c>
      <c r="CX8" s="197">
        <v>1</v>
      </c>
      <c r="CY8" s="197">
        <v>300</v>
      </c>
      <c r="CZ8" s="197">
        <v>1</v>
      </c>
      <c r="DA8" s="197">
        <v>1</v>
      </c>
      <c r="DB8" s="197">
        <v>0</v>
      </c>
      <c r="DC8" s="197">
        <v>6</v>
      </c>
      <c r="DD8" s="197">
        <v>730.43</v>
      </c>
      <c r="DE8" s="197">
        <v>600</v>
      </c>
      <c r="DF8" s="197">
        <v>0</v>
      </c>
      <c r="DG8" s="197">
        <v>100</v>
      </c>
    </row>
    <row r="9" spans="1:111" ht="14.65" thickBot="1" x14ac:dyDescent="0.5">
      <c r="A9" s="163" t="s">
        <v>275</v>
      </c>
      <c r="B9" s="164" t="s">
        <v>276</v>
      </c>
      <c r="C9" s="164" t="s">
        <v>277</v>
      </c>
      <c r="D9" s="164" t="s">
        <v>278</v>
      </c>
      <c r="E9" s="196" t="s">
        <v>75</v>
      </c>
      <c r="F9" s="196" t="s">
        <v>181</v>
      </c>
      <c r="G9" s="196" t="s">
        <v>129</v>
      </c>
      <c r="H9" s="197">
        <v>6</v>
      </c>
      <c r="I9" s="197">
        <v>7</v>
      </c>
      <c r="J9" s="197">
        <v>0</v>
      </c>
      <c r="K9" s="197">
        <v>12</v>
      </c>
      <c r="L9" s="197">
        <v>208.7</v>
      </c>
      <c r="M9" s="197">
        <v>171.43</v>
      </c>
      <c r="N9" s="197">
        <v>0</v>
      </c>
      <c r="O9" s="197">
        <v>100</v>
      </c>
      <c r="P9" s="197">
        <v>3</v>
      </c>
      <c r="Q9" s="197">
        <v>4</v>
      </c>
      <c r="R9" s="197">
        <v>0</v>
      </c>
      <c r="S9" s="197">
        <v>4</v>
      </c>
      <c r="T9" s="197">
        <v>121.74</v>
      </c>
      <c r="U9" s="197">
        <v>100</v>
      </c>
      <c r="V9" s="197">
        <v>0</v>
      </c>
      <c r="W9" s="197">
        <v>100</v>
      </c>
      <c r="X9" s="197">
        <v>2</v>
      </c>
      <c r="Y9" s="197">
        <v>3</v>
      </c>
      <c r="Z9" s="197">
        <v>0</v>
      </c>
      <c r="AA9" s="197">
        <v>1</v>
      </c>
      <c r="AB9" s="197">
        <v>40.58</v>
      </c>
      <c r="AC9" s="197">
        <v>33.33</v>
      </c>
      <c r="AD9" s="197">
        <v>1</v>
      </c>
      <c r="AE9" s="197">
        <v>0</v>
      </c>
      <c r="AF9" s="197">
        <v>4</v>
      </c>
      <c r="AG9" s="197">
        <v>5</v>
      </c>
      <c r="AH9" s="197">
        <v>0</v>
      </c>
      <c r="AI9" s="197">
        <v>0</v>
      </c>
      <c r="AJ9" s="197">
        <v>200</v>
      </c>
      <c r="AK9" s="197">
        <v>200</v>
      </c>
      <c r="AL9" s="197">
        <v>1</v>
      </c>
      <c r="AM9" s="197">
        <v>-100</v>
      </c>
      <c r="AN9" s="197">
        <v>3</v>
      </c>
      <c r="AO9" s="197">
        <v>4</v>
      </c>
      <c r="AP9" s="197">
        <v>0</v>
      </c>
      <c r="AQ9" s="197">
        <v>0</v>
      </c>
      <c r="AR9" s="197">
        <v>0</v>
      </c>
      <c r="AS9" s="197">
        <v>0</v>
      </c>
      <c r="AT9" s="197">
        <v>0</v>
      </c>
      <c r="AU9" s="197">
        <v>100</v>
      </c>
      <c r="AV9" s="197">
        <v>25</v>
      </c>
      <c r="AW9" s="197">
        <v>30</v>
      </c>
      <c r="AX9" s="197">
        <v>0</v>
      </c>
      <c r="AY9" s="197">
        <v>27</v>
      </c>
      <c r="AZ9" s="197">
        <v>109.57</v>
      </c>
      <c r="BA9" s="197">
        <v>90</v>
      </c>
      <c r="BB9" s="197">
        <v>0</v>
      </c>
      <c r="BC9" s="197">
        <v>100</v>
      </c>
      <c r="BD9" s="197">
        <v>4</v>
      </c>
      <c r="BE9" s="197">
        <v>5</v>
      </c>
      <c r="BF9" s="197">
        <v>1</v>
      </c>
      <c r="BG9" s="197">
        <v>5</v>
      </c>
      <c r="BH9" s="197">
        <v>121.74</v>
      </c>
      <c r="BI9" s="197">
        <v>100</v>
      </c>
      <c r="BJ9" s="197">
        <v>0</v>
      </c>
      <c r="BK9" s="197">
        <v>100</v>
      </c>
      <c r="BL9" s="197">
        <v>0</v>
      </c>
      <c r="BM9" s="197">
        <v>0</v>
      </c>
      <c r="BN9" s="197">
        <v>0</v>
      </c>
      <c r="BO9" s="197">
        <v>0</v>
      </c>
      <c r="BP9" s="197">
        <v>100</v>
      </c>
      <c r="BQ9" s="197">
        <v>100</v>
      </c>
      <c r="BR9" s="197">
        <v>0</v>
      </c>
      <c r="BS9" s="197">
        <v>100</v>
      </c>
      <c r="BT9" s="197">
        <v>1</v>
      </c>
      <c r="BU9" s="197">
        <v>1</v>
      </c>
      <c r="BV9" s="197">
        <v>0</v>
      </c>
      <c r="BW9" s="197">
        <v>0</v>
      </c>
      <c r="BX9" s="197">
        <v>0</v>
      </c>
      <c r="BY9" s="197">
        <v>0</v>
      </c>
      <c r="BZ9" s="197">
        <v>0</v>
      </c>
      <c r="CA9" s="197">
        <v>100</v>
      </c>
      <c r="CB9" s="197">
        <v>7</v>
      </c>
      <c r="CC9" s="197">
        <v>8</v>
      </c>
      <c r="CD9" s="197">
        <v>0</v>
      </c>
      <c r="CE9" s="197">
        <v>12</v>
      </c>
      <c r="CF9" s="197">
        <v>182.61</v>
      </c>
      <c r="CG9" s="197">
        <v>150</v>
      </c>
      <c r="CH9" s="197">
        <v>0</v>
      </c>
      <c r="CI9" s="197">
        <v>100</v>
      </c>
      <c r="CJ9" s="197">
        <v>3</v>
      </c>
      <c r="CK9" s="197">
        <v>4</v>
      </c>
      <c r="CL9" s="197">
        <v>0</v>
      </c>
      <c r="CM9" s="197">
        <v>3</v>
      </c>
      <c r="CN9" s="197">
        <v>91.3</v>
      </c>
      <c r="CO9" s="197">
        <v>75</v>
      </c>
      <c r="CP9" s="197">
        <v>0</v>
      </c>
      <c r="CQ9" s="197">
        <v>100</v>
      </c>
      <c r="CR9" s="197">
        <v>2</v>
      </c>
      <c r="CS9" s="197">
        <v>3</v>
      </c>
      <c r="CT9" s="197">
        <v>0</v>
      </c>
      <c r="CU9" s="197">
        <v>5</v>
      </c>
      <c r="CV9" s="197">
        <v>202.9</v>
      </c>
      <c r="CW9" s="197">
        <v>166.67</v>
      </c>
      <c r="CX9" s="197">
        <v>0</v>
      </c>
      <c r="CY9" s="197">
        <v>100</v>
      </c>
      <c r="CZ9" s="197">
        <v>1</v>
      </c>
      <c r="DA9" s="197">
        <v>1</v>
      </c>
      <c r="DB9" s="197">
        <v>0</v>
      </c>
      <c r="DC9" s="197">
        <v>2</v>
      </c>
      <c r="DD9" s="197">
        <v>243.48</v>
      </c>
      <c r="DE9" s="197">
        <v>200</v>
      </c>
      <c r="DF9" s="197">
        <v>0</v>
      </c>
      <c r="DG9" s="197">
        <v>100</v>
      </c>
    </row>
    <row r="10" spans="1:111" ht="14.65" thickBot="1" x14ac:dyDescent="0.5">
      <c r="A10" s="163" t="s">
        <v>275</v>
      </c>
      <c r="B10" s="164" t="s">
        <v>276</v>
      </c>
      <c r="C10" s="164" t="s">
        <v>277</v>
      </c>
      <c r="D10" s="164" t="s">
        <v>278</v>
      </c>
      <c r="E10" s="196" t="s">
        <v>78</v>
      </c>
      <c r="F10" s="196" t="s">
        <v>182</v>
      </c>
      <c r="G10" s="196" t="s">
        <v>129</v>
      </c>
      <c r="H10" s="197">
        <v>6</v>
      </c>
      <c r="I10" s="197">
        <v>7</v>
      </c>
      <c r="J10" s="197">
        <v>0</v>
      </c>
      <c r="K10" s="197">
        <v>5</v>
      </c>
      <c r="L10" s="197">
        <v>86.96</v>
      </c>
      <c r="M10" s="197">
        <v>71.430000000000007</v>
      </c>
      <c r="N10" s="197">
        <v>0</v>
      </c>
      <c r="O10" s="197">
        <v>100</v>
      </c>
      <c r="P10" s="197">
        <v>2</v>
      </c>
      <c r="Q10" s="197">
        <v>3</v>
      </c>
      <c r="R10" s="197">
        <v>0</v>
      </c>
      <c r="S10" s="197">
        <v>4</v>
      </c>
      <c r="T10" s="197">
        <v>162.32</v>
      </c>
      <c r="U10" s="197">
        <v>133.33000000000001</v>
      </c>
      <c r="V10" s="197">
        <v>0</v>
      </c>
      <c r="W10" s="197">
        <v>100</v>
      </c>
      <c r="X10" s="197">
        <v>1</v>
      </c>
      <c r="Y10" s="197">
        <v>1</v>
      </c>
      <c r="Z10" s="197">
        <v>0</v>
      </c>
      <c r="AA10" s="197">
        <v>0</v>
      </c>
      <c r="AB10" s="197">
        <v>0</v>
      </c>
      <c r="AC10" s="197">
        <v>0</v>
      </c>
      <c r="AD10" s="197">
        <v>1</v>
      </c>
      <c r="AE10" s="197">
        <v>-100</v>
      </c>
      <c r="AF10" s="197">
        <v>2</v>
      </c>
      <c r="AG10" s="197">
        <v>3</v>
      </c>
      <c r="AH10" s="197">
        <v>0</v>
      </c>
      <c r="AI10" s="197">
        <v>1</v>
      </c>
      <c r="AJ10" s="197">
        <v>159.41999999999999</v>
      </c>
      <c r="AK10" s="197">
        <v>166.67</v>
      </c>
      <c r="AL10" s="197">
        <v>0</v>
      </c>
      <c r="AM10" s="197">
        <v>100</v>
      </c>
      <c r="AN10" s="197">
        <v>3</v>
      </c>
      <c r="AO10" s="197">
        <v>4</v>
      </c>
      <c r="AP10" s="197">
        <v>0</v>
      </c>
      <c r="AQ10" s="197">
        <v>0</v>
      </c>
      <c r="AR10" s="197">
        <v>0</v>
      </c>
      <c r="AS10" s="197">
        <v>0</v>
      </c>
      <c r="AT10" s="197">
        <v>0</v>
      </c>
      <c r="AU10" s="197">
        <v>100</v>
      </c>
      <c r="AV10" s="197">
        <v>25</v>
      </c>
      <c r="AW10" s="197">
        <v>30</v>
      </c>
      <c r="AX10" s="197">
        <v>0</v>
      </c>
      <c r="AY10" s="197">
        <v>9</v>
      </c>
      <c r="AZ10" s="197">
        <v>36.520000000000003</v>
      </c>
      <c r="BA10" s="197">
        <v>30</v>
      </c>
      <c r="BB10" s="197">
        <v>3</v>
      </c>
      <c r="BC10" s="197">
        <v>200</v>
      </c>
      <c r="BD10" s="197">
        <v>3</v>
      </c>
      <c r="BE10" s="197">
        <v>4</v>
      </c>
      <c r="BF10" s="197">
        <v>0</v>
      </c>
      <c r="BG10" s="197">
        <v>2</v>
      </c>
      <c r="BH10" s="197">
        <v>60.87</v>
      </c>
      <c r="BI10" s="197">
        <v>50</v>
      </c>
      <c r="BJ10" s="197">
        <v>0</v>
      </c>
      <c r="BK10" s="197">
        <v>100</v>
      </c>
      <c r="BL10" s="197">
        <v>0</v>
      </c>
      <c r="BM10" s="197">
        <v>0</v>
      </c>
      <c r="BN10" s="197">
        <v>0</v>
      </c>
      <c r="BO10" s="197">
        <v>0</v>
      </c>
      <c r="BP10" s="197">
        <v>100</v>
      </c>
      <c r="BQ10" s="197">
        <v>100</v>
      </c>
      <c r="BR10" s="197">
        <v>0</v>
      </c>
      <c r="BS10" s="197">
        <v>100</v>
      </c>
      <c r="BT10" s="197">
        <v>1</v>
      </c>
      <c r="BU10" s="197">
        <v>1</v>
      </c>
      <c r="BV10" s="197">
        <v>0</v>
      </c>
      <c r="BW10" s="197">
        <v>0</v>
      </c>
      <c r="BX10" s="197">
        <v>0</v>
      </c>
      <c r="BY10" s="197">
        <v>0</v>
      </c>
      <c r="BZ10" s="197">
        <v>0</v>
      </c>
      <c r="CA10" s="197">
        <v>100</v>
      </c>
      <c r="CB10" s="197">
        <v>7</v>
      </c>
      <c r="CC10" s="197">
        <v>8</v>
      </c>
      <c r="CD10" s="197">
        <v>0</v>
      </c>
      <c r="CE10" s="197">
        <v>0</v>
      </c>
      <c r="CF10" s="197">
        <v>0</v>
      </c>
      <c r="CG10" s="197">
        <v>0</v>
      </c>
      <c r="CH10" s="197">
        <v>0</v>
      </c>
      <c r="CI10" s="197">
        <v>100</v>
      </c>
      <c r="CJ10" s="197">
        <v>3</v>
      </c>
      <c r="CK10" s="197">
        <v>4</v>
      </c>
      <c r="CL10" s="197">
        <v>0</v>
      </c>
      <c r="CM10" s="197">
        <v>3</v>
      </c>
      <c r="CN10" s="197">
        <v>91.3</v>
      </c>
      <c r="CO10" s="197">
        <v>75</v>
      </c>
      <c r="CP10" s="197">
        <v>0</v>
      </c>
      <c r="CQ10" s="197">
        <v>100</v>
      </c>
      <c r="CR10" s="197">
        <v>2</v>
      </c>
      <c r="CS10" s="197">
        <v>3</v>
      </c>
      <c r="CT10" s="197">
        <v>0</v>
      </c>
      <c r="CU10" s="197">
        <v>0</v>
      </c>
      <c r="CV10" s="197">
        <v>0</v>
      </c>
      <c r="CW10" s="197">
        <v>0</v>
      </c>
      <c r="CX10" s="197">
        <v>0</v>
      </c>
      <c r="CY10" s="197">
        <v>100</v>
      </c>
      <c r="CZ10" s="197">
        <v>1</v>
      </c>
      <c r="DA10" s="197">
        <v>1</v>
      </c>
      <c r="DB10" s="197">
        <v>0</v>
      </c>
      <c r="DC10" s="197">
        <v>0</v>
      </c>
      <c r="DD10" s="197">
        <v>0</v>
      </c>
      <c r="DE10" s="197">
        <v>0</v>
      </c>
      <c r="DF10" s="197">
        <v>1</v>
      </c>
      <c r="DG10" s="197">
        <v>-100</v>
      </c>
    </row>
    <row r="11" spans="1:111" ht="14.65" thickBot="1" x14ac:dyDescent="0.5">
      <c r="A11" s="163" t="s">
        <v>275</v>
      </c>
      <c r="B11" s="164" t="s">
        <v>276</v>
      </c>
      <c r="C11" s="164" t="s">
        <v>277</v>
      </c>
      <c r="D11" s="164" t="s">
        <v>278</v>
      </c>
      <c r="E11" s="196" t="s">
        <v>81</v>
      </c>
      <c r="F11" s="196" t="s">
        <v>183</v>
      </c>
      <c r="G11" s="196" t="s">
        <v>179</v>
      </c>
      <c r="H11" s="197">
        <v>6</v>
      </c>
      <c r="I11" s="197">
        <v>7</v>
      </c>
      <c r="J11" s="197">
        <v>0</v>
      </c>
      <c r="K11" s="197">
        <v>8</v>
      </c>
      <c r="L11" s="197">
        <v>139.13</v>
      </c>
      <c r="M11" s="197">
        <v>114.29</v>
      </c>
      <c r="N11" s="197">
        <v>0</v>
      </c>
      <c r="O11" s="197">
        <v>100</v>
      </c>
      <c r="P11" s="197">
        <v>3</v>
      </c>
      <c r="Q11" s="197">
        <v>4</v>
      </c>
      <c r="R11" s="197">
        <v>0</v>
      </c>
      <c r="S11" s="197">
        <v>4</v>
      </c>
      <c r="T11" s="197">
        <v>121.74</v>
      </c>
      <c r="U11" s="197">
        <v>100</v>
      </c>
      <c r="V11" s="197">
        <v>0</v>
      </c>
      <c r="W11" s="197">
        <v>100</v>
      </c>
      <c r="X11" s="197">
        <v>2</v>
      </c>
      <c r="Y11" s="197">
        <v>2</v>
      </c>
      <c r="Z11" s="197">
        <v>0</v>
      </c>
      <c r="AA11" s="197">
        <v>0</v>
      </c>
      <c r="AB11" s="197">
        <v>0</v>
      </c>
      <c r="AC11" s="197">
        <v>0</v>
      </c>
      <c r="AD11" s="197">
        <v>0</v>
      </c>
      <c r="AE11" s="197">
        <v>100</v>
      </c>
      <c r="AF11" s="197">
        <v>3</v>
      </c>
      <c r="AG11" s="197">
        <v>4</v>
      </c>
      <c r="AH11" s="197">
        <v>0</v>
      </c>
      <c r="AI11" s="197">
        <v>2</v>
      </c>
      <c r="AJ11" s="197">
        <v>139.13</v>
      </c>
      <c r="AK11" s="197">
        <v>150</v>
      </c>
      <c r="AL11" s="197">
        <v>2</v>
      </c>
      <c r="AM11" s="197">
        <v>0</v>
      </c>
      <c r="AN11" s="197">
        <v>2</v>
      </c>
      <c r="AO11" s="197">
        <v>3</v>
      </c>
      <c r="AP11" s="197">
        <v>0</v>
      </c>
      <c r="AQ11" s="197">
        <v>0</v>
      </c>
      <c r="AR11" s="197">
        <v>0</v>
      </c>
      <c r="AS11" s="197">
        <v>0</v>
      </c>
      <c r="AT11" s="197">
        <v>0</v>
      </c>
      <c r="AU11" s="197">
        <v>100</v>
      </c>
      <c r="AV11" s="197">
        <v>33</v>
      </c>
      <c r="AW11" s="197">
        <v>40</v>
      </c>
      <c r="AX11" s="197">
        <v>0</v>
      </c>
      <c r="AY11" s="197">
        <v>85</v>
      </c>
      <c r="AZ11" s="197">
        <v>258.7</v>
      </c>
      <c r="BA11" s="197">
        <v>212.5</v>
      </c>
      <c r="BB11" s="197">
        <v>1</v>
      </c>
      <c r="BC11" s="197">
        <v>8400</v>
      </c>
      <c r="BD11" s="197">
        <v>4</v>
      </c>
      <c r="BE11" s="197">
        <v>5</v>
      </c>
      <c r="BF11" s="197">
        <v>1</v>
      </c>
      <c r="BG11" s="197">
        <v>4</v>
      </c>
      <c r="BH11" s="197">
        <v>97.39</v>
      </c>
      <c r="BI11" s="197">
        <v>80</v>
      </c>
      <c r="BJ11" s="197">
        <v>0</v>
      </c>
      <c r="BK11" s="197">
        <v>100</v>
      </c>
      <c r="BL11" s="197">
        <v>0</v>
      </c>
      <c r="BM11" s="197">
        <v>0</v>
      </c>
      <c r="BN11" s="197">
        <v>0</v>
      </c>
      <c r="BO11" s="197">
        <v>0</v>
      </c>
      <c r="BP11" s="197">
        <v>100</v>
      </c>
      <c r="BQ11" s="197">
        <v>100</v>
      </c>
      <c r="BR11" s="197">
        <v>0</v>
      </c>
      <c r="BS11" s="197">
        <v>100</v>
      </c>
      <c r="BT11" s="197">
        <v>1</v>
      </c>
      <c r="BU11" s="197">
        <v>1</v>
      </c>
      <c r="BV11" s="197">
        <v>0</v>
      </c>
      <c r="BW11" s="197">
        <v>1</v>
      </c>
      <c r="BX11" s="197">
        <v>121.74</v>
      </c>
      <c r="BY11" s="197">
        <v>100</v>
      </c>
      <c r="BZ11" s="197">
        <v>0</v>
      </c>
      <c r="CA11" s="197">
        <v>100</v>
      </c>
      <c r="CB11" s="197">
        <v>7</v>
      </c>
      <c r="CC11" s="197">
        <v>8</v>
      </c>
      <c r="CD11" s="197">
        <v>0</v>
      </c>
      <c r="CE11" s="197">
        <v>7</v>
      </c>
      <c r="CF11" s="197">
        <v>106.52</v>
      </c>
      <c r="CG11" s="197">
        <v>87.5</v>
      </c>
      <c r="CH11" s="197">
        <v>0</v>
      </c>
      <c r="CI11" s="197">
        <v>100</v>
      </c>
      <c r="CJ11" s="197">
        <v>3</v>
      </c>
      <c r="CK11" s="197">
        <v>4</v>
      </c>
      <c r="CL11" s="197">
        <v>0</v>
      </c>
      <c r="CM11" s="197">
        <v>3</v>
      </c>
      <c r="CN11" s="197">
        <v>91.3</v>
      </c>
      <c r="CO11" s="197">
        <v>75</v>
      </c>
      <c r="CP11" s="197">
        <v>0</v>
      </c>
      <c r="CQ11" s="197">
        <v>100</v>
      </c>
      <c r="CR11" s="197">
        <v>3</v>
      </c>
      <c r="CS11" s="197">
        <v>4</v>
      </c>
      <c r="CT11" s="197">
        <v>0</v>
      </c>
      <c r="CU11" s="197">
        <v>3</v>
      </c>
      <c r="CV11" s="197">
        <v>91.3</v>
      </c>
      <c r="CW11" s="197">
        <v>75</v>
      </c>
      <c r="CX11" s="197">
        <v>1</v>
      </c>
      <c r="CY11" s="197">
        <v>200</v>
      </c>
      <c r="CZ11" s="197">
        <v>1</v>
      </c>
      <c r="DA11" s="197">
        <v>1</v>
      </c>
      <c r="DB11" s="197">
        <v>0</v>
      </c>
      <c r="DC11" s="197">
        <v>9</v>
      </c>
      <c r="DD11" s="197">
        <v>1095.6500000000001</v>
      </c>
      <c r="DE11" s="197">
        <v>900</v>
      </c>
      <c r="DF11" s="197">
        <v>1</v>
      </c>
      <c r="DG11" s="197">
        <v>800</v>
      </c>
    </row>
    <row r="12" spans="1:111" ht="14.65" thickBot="1" x14ac:dyDescent="0.5">
      <c r="A12" s="163" t="s">
        <v>275</v>
      </c>
      <c r="B12" s="164" t="s">
        <v>276</v>
      </c>
      <c r="C12" s="164" t="s">
        <v>277</v>
      </c>
      <c r="D12" s="164" t="s">
        <v>278</v>
      </c>
      <c r="E12" s="196" t="s">
        <v>84</v>
      </c>
      <c r="F12" s="196" t="s">
        <v>184</v>
      </c>
      <c r="G12" s="196" t="s">
        <v>129</v>
      </c>
      <c r="H12" s="197">
        <v>6</v>
      </c>
      <c r="I12" s="197">
        <v>7</v>
      </c>
      <c r="J12" s="197">
        <v>0</v>
      </c>
      <c r="K12" s="197">
        <v>5</v>
      </c>
      <c r="L12" s="197">
        <v>86.96</v>
      </c>
      <c r="M12" s="197">
        <v>71.430000000000007</v>
      </c>
      <c r="N12" s="197">
        <v>0</v>
      </c>
      <c r="O12" s="197">
        <v>100</v>
      </c>
      <c r="P12" s="197">
        <v>2</v>
      </c>
      <c r="Q12" s="197">
        <v>3</v>
      </c>
      <c r="R12" s="197">
        <v>0</v>
      </c>
      <c r="S12" s="197">
        <v>2</v>
      </c>
      <c r="T12" s="197">
        <v>81.16</v>
      </c>
      <c r="U12" s="197">
        <v>66.67</v>
      </c>
      <c r="V12" s="197">
        <v>0</v>
      </c>
      <c r="W12" s="197">
        <v>100</v>
      </c>
      <c r="X12" s="197">
        <v>1</v>
      </c>
      <c r="Y12" s="197">
        <v>1</v>
      </c>
      <c r="Z12" s="197">
        <v>0</v>
      </c>
      <c r="AA12" s="197">
        <v>0</v>
      </c>
      <c r="AB12" s="197">
        <v>0</v>
      </c>
      <c r="AC12" s="197">
        <v>0</v>
      </c>
      <c r="AD12" s="197">
        <v>0</v>
      </c>
      <c r="AE12" s="197">
        <v>100</v>
      </c>
      <c r="AF12" s="197">
        <v>3</v>
      </c>
      <c r="AG12" s="197">
        <v>4</v>
      </c>
      <c r="AH12" s="197">
        <v>0</v>
      </c>
      <c r="AI12" s="197">
        <v>0</v>
      </c>
      <c r="AJ12" s="197">
        <v>200</v>
      </c>
      <c r="AK12" s="197">
        <v>200</v>
      </c>
      <c r="AL12" s="197">
        <v>3</v>
      </c>
      <c r="AM12" s="197">
        <v>-100</v>
      </c>
      <c r="AN12" s="197">
        <v>3</v>
      </c>
      <c r="AO12" s="197">
        <v>4</v>
      </c>
      <c r="AP12" s="197">
        <v>0</v>
      </c>
      <c r="AQ12" s="197">
        <v>0</v>
      </c>
      <c r="AR12" s="197">
        <v>0</v>
      </c>
      <c r="AS12" s="197">
        <v>0</v>
      </c>
      <c r="AT12" s="197">
        <v>0</v>
      </c>
      <c r="AU12" s="197">
        <v>100</v>
      </c>
      <c r="AV12" s="197">
        <v>25</v>
      </c>
      <c r="AW12" s="197">
        <v>30</v>
      </c>
      <c r="AX12" s="197">
        <v>0</v>
      </c>
      <c r="AY12" s="197">
        <v>26</v>
      </c>
      <c r="AZ12" s="197">
        <v>105.51</v>
      </c>
      <c r="BA12" s="197">
        <v>86.67</v>
      </c>
      <c r="BB12" s="197">
        <v>0</v>
      </c>
      <c r="BC12" s="197">
        <v>100</v>
      </c>
      <c r="BD12" s="197">
        <v>3</v>
      </c>
      <c r="BE12" s="197">
        <v>4</v>
      </c>
      <c r="BF12" s="197">
        <v>0</v>
      </c>
      <c r="BG12" s="197">
        <v>1</v>
      </c>
      <c r="BH12" s="197">
        <v>30.43</v>
      </c>
      <c r="BI12" s="197">
        <v>25</v>
      </c>
      <c r="BJ12" s="197">
        <v>0</v>
      </c>
      <c r="BK12" s="197">
        <v>100</v>
      </c>
      <c r="BL12" s="197">
        <v>0</v>
      </c>
      <c r="BM12" s="197">
        <v>0</v>
      </c>
      <c r="BN12" s="197">
        <v>0</v>
      </c>
      <c r="BO12" s="197">
        <v>0</v>
      </c>
      <c r="BP12" s="197">
        <v>100</v>
      </c>
      <c r="BQ12" s="197">
        <v>100</v>
      </c>
      <c r="BR12" s="197">
        <v>0</v>
      </c>
      <c r="BS12" s="197">
        <v>100</v>
      </c>
      <c r="BT12" s="197">
        <v>1</v>
      </c>
      <c r="BU12" s="197">
        <v>1</v>
      </c>
      <c r="BV12" s="197">
        <v>0</v>
      </c>
      <c r="BW12" s="197">
        <v>0</v>
      </c>
      <c r="BX12" s="197">
        <v>0</v>
      </c>
      <c r="BY12" s="197">
        <v>0</v>
      </c>
      <c r="BZ12" s="197">
        <v>0</v>
      </c>
      <c r="CA12" s="197">
        <v>100</v>
      </c>
      <c r="CB12" s="197">
        <v>7</v>
      </c>
      <c r="CC12" s="197">
        <v>8</v>
      </c>
      <c r="CD12" s="197">
        <v>0</v>
      </c>
      <c r="CE12" s="197">
        <v>3</v>
      </c>
      <c r="CF12" s="197">
        <v>45.65</v>
      </c>
      <c r="CG12" s="197">
        <v>37.5</v>
      </c>
      <c r="CH12" s="197">
        <v>0</v>
      </c>
      <c r="CI12" s="197">
        <v>100</v>
      </c>
      <c r="CJ12" s="197">
        <v>3</v>
      </c>
      <c r="CK12" s="197">
        <v>4</v>
      </c>
      <c r="CL12" s="197">
        <v>0</v>
      </c>
      <c r="CM12" s="197">
        <v>2</v>
      </c>
      <c r="CN12" s="197">
        <v>60.87</v>
      </c>
      <c r="CO12" s="197">
        <v>50</v>
      </c>
      <c r="CP12" s="197">
        <v>0</v>
      </c>
      <c r="CQ12" s="197">
        <v>100</v>
      </c>
      <c r="CR12" s="197">
        <v>2</v>
      </c>
      <c r="CS12" s="197">
        <v>3</v>
      </c>
      <c r="CT12" s="197">
        <v>0</v>
      </c>
      <c r="CU12" s="197">
        <v>3</v>
      </c>
      <c r="CV12" s="197">
        <v>121.74</v>
      </c>
      <c r="CW12" s="197">
        <v>100</v>
      </c>
      <c r="CX12" s="197">
        <v>0</v>
      </c>
      <c r="CY12" s="197">
        <v>100</v>
      </c>
      <c r="CZ12" s="197">
        <v>1</v>
      </c>
      <c r="DA12" s="197">
        <v>1</v>
      </c>
      <c r="DB12" s="197">
        <v>0</v>
      </c>
      <c r="DC12" s="197">
        <v>3</v>
      </c>
      <c r="DD12" s="197">
        <v>365.22</v>
      </c>
      <c r="DE12" s="197">
        <v>300</v>
      </c>
      <c r="DF12" s="197">
        <v>0</v>
      </c>
      <c r="DG12" s="197">
        <v>100</v>
      </c>
    </row>
    <row r="13" spans="1:111" ht="14.65" thickBot="1" x14ac:dyDescent="0.5">
      <c r="A13" s="163" t="s">
        <v>275</v>
      </c>
      <c r="B13" s="164" t="s">
        <v>276</v>
      </c>
      <c r="C13" s="164" t="s">
        <v>277</v>
      </c>
      <c r="D13" s="164" t="s">
        <v>278</v>
      </c>
      <c r="E13" s="196" t="s">
        <v>87</v>
      </c>
      <c r="F13" s="196" t="s">
        <v>185</v>
      </c>
      <c r="G13" s="196" t="s">
        <v>128</v>
      </c>
      <c r="H13" s="197">
        <v>7</v>
      </c>
      <c r="I13" s="197">
        <v>8</v>
      </c>
      <c r="J13" s="197">
        <v>0</v>
      </c>
      <c r="K13" s="197">
        <v>8</v>
      </c>
      <c r="L13" s="197">
        <v>121.74</v>
      </c>
      <c r="M13" s="197">
        <v>100</v>
      </c>
      <c r="N13" s="197">
        <v>0</v>
      </c>
      <c r="O13" s="197">
        <v>100</v>
      </c>
      <c r="P13" s="197">
        <v>3</v>
      </c>
      <c r="Q13" s="197">
        <v>4</v>
      </c>
      <c r="R13" s="197">
        <v>0</v>
      </c>
      <c r="S13" s="197">
        <v>3</v>
      </c>
      <c r="T13" s="197">
        <v>91.3</v>
      </c>
      <c r="U13" s="197">
        <v>75</v>
      </c>
      <c r="V13" s="197">
        <v>0</v>
      </c>
      <c r="W13" s="197">
        <v>100</v>
      </c>
      <c r="X13" s="197">
        <v>2</v>
      </c>
      <c r="Y13" s="197">
        <v>2</v>
      </c>
      <c r="Z13" s="197">
        <v>0</v>
      </c>
      <c r="AA13" s="197">
        <v>0</v>
      </c>
      <c r="AB13" s="197">
        <v>0</v>
      </c>
      <c r="AC13" s="197">
        <v>0</v>
      </c>
      <c r="AD13" s="197">
        <v>2</v>
      </c>
      <c r="AE13" s="197">
        <v>-100</v>
      </c>
      <c r="AF13" s="197">
        <v>4</v>
      </c>
      <c r="AG13" s="197">
        <v>5</v>
      </c>
      <c r="AH13" s="197">
        <v>0</v>
      </c>
      <c r="AI13" s="197">
        <v>2</v>
      </c>
      <c r="AJ13" s="197">
        <v>151.30000000000001</v>
      </c>
      <c r="AK13" s="197">
        <v>160</v>
      </c>
      <c r="AL13" s="197">
        <v>1</v>
      </c>
      <c r="AM13" s="197">
        <v>100</v>
      </c>
      <c r="AN13" s="197">
        <v>3</v>
      </c>
      <c r="AO13" s="197">
        <v>4</v>
      </c>
      <c r="AP13" s="197">
        <v>0</v>
      </c>
      <c r="AQ13" s="197">
        <v>0</v>
      </c>
      <c r="AR13" s="197">
        <v>0</v>
      </c>
      <c r="AS13" s="197">
        <v>0</v>
      </c>
      <c r="AT13" s="197">
        <v>0</v>
      </c>
      <c r="AU13" s="197">
        <v>100</v>
      </c>
      <c r="AV13" s="197">
        <v>41</v>
      </c>
      <c r="AW13" s="197">
        <v>50</v>
      </c>
      <c r="AX13" s="197">
        <v>0</v>
      </c>
      <c r="AY13" s="197">
        <v>69</v>
      </c>
      <c r="AZ13" s="197">
        <v>168</v>
      </c>
      <c r="BA13" s="197">
        <v>138</v>
      </c>
      <c r="BB13" s="197">
        <v>0</v>
      </c>
      <c r="BC13" s="197">
        <v>100</v>
      </c>
      <c r="BD13" s="197">
        <v>4</v>
      </c>
      <c r="BE13" s="197">
        <v>5</v>
      </c>
      <c r="BF13" s="197">
        <v>0</v>
      </c>
      <c r="BG13" s="197">
        <v>4</v>
      </c>
      <c r="BH13" s="197">
        <v>97.39</v>
      </c>
      <c r="BI13" s="197">
        <v>80</v>
      </c>
      <c r="BJ13" s="197">
        <v>0</v>
      </c>
      <c r="BK13" s="197">
        <v>100</v>
      </c>
      <c r="BL13" s="197">
        <v>1</v>
      </c>
      <c r="BM13" s="197">
        <v>1</v>
      </c>
      <c r="BN13" s="197">
        <v>0</v>
      </c>
      <c r="BO13" s="197">
        <v>0</v>
      </c>
      <c r="BP13" s="197">
        <v>0</v>
      </c>
      <c r="BQ13" s="197">
        <v>0</v>
      </c>
      <c r="BR13" s="197">
        <v>0</v>
      </c>
      <c r="BS13" s="197">
        <v>100</v>
      </c>
      <c r="BT13" s="197">
        <v>1</v>
      </c>
      <c r="BU13" s="197">
        <v>1</v>
      </c>
      <c r="BV13" s="197">
        <v>0</v>
      </c>
      <c r="BW13" s="197">
        <v>0</v>
      </c>
      <c r="BX13" s="197">
        <v>0</v>
      </c>
      <c r="BY13" s="197">
        <v>0</v>
      </c>
      <c r="BZ13" s="197">
        <v>0</v>
      </c>
      <c r="CA13" s="197">
        <v>100</v>
      </c>
      <c r="CB13" s="197">
        <v>7</v>
      </c>
      <c r="CC13" s="197">
        <v>9</v>
      </c>
      <c r="CD13" s="197">
        <v>0</v>
      </c>
      <c r="CE13" s="197">
        <v>11</v>
      </c>
      <c r="CF13" s="197">
        <v>148.79</v>
      </c>
      <c r="CG13" s="197">
        <v>122.22</v>
      </c>
      <c r="CH13" s="197">
        <v>0</v>
      </c>
      <c r="CI13" s="197">
        <v>100</v>
      </c>
      <c r="CJ13" s="197">
        <v>4</v>
      </c>
      <c r="CK13" s="197">
        <v>5</v>
      </c>
      <c r="CL13" s="197">
        <v>0</v>
      </c>
      <c r="CM13" s="197">
        <v>1</v>
      </c>
      <c r="CN13" s="197">
        <v>24.35</v>
      </c>
      <c r="CO13" s="197">
        <v>20</v>
      </c>
      <c r="CP13" s="197">
        <v>0</v>
      </c>
      <c r="CQ13" s="197">
        <v>100</v>
      </c>
      <c r="CR13" s="197">
        <v>3</v>
      </c>
      <c r="CS13" s="197">
        <v>4</v>
      </c>
      <c r="CT13" s="197">
        <v>0</v>
      </c>
      <c r="CU13" s="197">
        <v>3</v>
      </c>
      <c r="CV13" s="197">
        <v>91.3</v>
      </c>
      <c r="CW13" s="197">
        <v>75</v>
      </c>
      <c r="CX13" s="197">
        <v>0</v>
      </c>
      <c r="CY13" s="197">
        <v>100</v>
      </c>
      <c r="CZ13" s="197">
        <v>1</v>
      </c>
      <c r="DA13" s="197">
        <v>1</v>
      </c>
      <c r="DB13" s="197">
        <v>0</v>
      </c>
      <c r="DC13" s="197">
        <v>0</v>
      </c>
      <c r="DD13" s="197">
        <v>0</v>
      </c>
      <c r="DE13" s="197">
        <v>0</v>
      </c>
      <c r="DF13" s="197">
        <v>0</v>
      </c>
      <c r="DG13" s="197">
        <v>100</v>
      </c>
    </row>
    <row r="14" spans="1:111" ht="14.65" thickBot="1" x14ac:dyDescent="0.5">
      <c r="A14" s="163" t="s">
        <v>275</v>
      </c>
      <c r="B14" s="164" t="s">
        <v>276</v>
      </c>
      <c r="C14" s="164" t="s">
        <v>277</v>
      </c>
      <c r="D14" s="164" t="s">
        <v>278</v>
      </c>
      <c r="E14" s="196" t="s">
        <v>90</v>
      </c>
      <c r="F14" s="196" t="s">
        <v>186</v>
      </c>
      <c r="G14" s="196" t="s">
        <v>179</v>
      </c>
      <c r="H14" s="197">
        <v>6</v>
      </c>
      <c r="I14" s="197">
        <v>7</v>
      </c>
      <c r="J14" s="197">
        <v>0</v>
      </c>
      <c r="K14" s="197">
        <v>8</v>
      </c>
      <c r="L14" s="197">
        <v>139.13</v>
      </c>
      <c r="M14" s="197">
        <v>114.29</v>
      </c>
      <c r="N14" s="197">
        <v>0</v>
      </c>
      <c r="O14" s="197">
        <v>100</v>
      </c>
      <c r="P14" s="197">
        <v>3</v>
      </c>
      <c r="Q14" s="197">
        <v>4</v>
      </c>
      <c r="R14" s="197">
        <v>0</v>
      </c>
      <c r="S14" s="197">
        <v>5</v>
      </c>
      <c r="T14" s="197">
        <v>152.16999999999999</v>
      </c>
      <c r="U14" s="197">
        <v>125</v>
      </c>
      <c r="V14" s="197">
        <v>0</v>
      </c>
      <c r="W14" s="197">
        <v>100</v>
      </c>
      <c r="X14" s="197">
        <v>2</v>
      </c>
      <c r="Y14" s="197">
        <v>2</v>
      </c>
      <c r="Z14" s="197">
        <v>0</v>
      </c>
      <c r="AA14" s="197">
        <v>1</v>
      </c>
      <c r="AB14" s="197">
        <v>60.87</v>
      </c>
      <c r="AC14" s="197">
        <v>50</v>
      </c>
      <c r="AD14" s="197">
        <v>0</v>
      </c>
      <c r="AE14" s="197">
        <v>100</v>
      </c>
      <c r="AF14" s="197">
        <v>3</v>
      </c>
      <c r="AG14" s="197">
        <v>4</v>
      </c>
      <c r="AH14" s="197">
        <v>0</v>
      </c>
      <c r="AI14" s="197">
        <v>2</v>
      </c>
      <c r="AJ14" s="197">
        <v>139.13</v>
      </c>
      <c r="AK14" s="197">
        <v>150</v>
      </c>
      <c r="AL14" s="197">
        <v>0</v>
      </c>
      <c r="AM14" s="197">
        <v>100</v>
      </c>
      <c r="AN14" s="197">
        <v>3</v>
      </c>
      <c r="AO14" s="197">
        <v>4</v>
      </c>
      <c r="AP14" s="197">
        <v>0</v>
      </c>
      <c r="AQ14" s="197">
        <v>0</v>
      </c>
      <c r="AR14" s="197">
        <v>0</v>
      </c>
      <c r="AS14" s="197">
        <v>0</v>
      </c>
      <c r="AT14" s="197">
        <v>0</v>
      </c>
      <c r="AU14" s="197">
        <v>100</v>
      </c>
      <c r="AV14" s="197">
        <v>49</v>
      </c>
      <c r="AW14" s="197">
        <v>60</v>
      </c>
      <c r="AX14" s="197">
        <v>0</v>
      </c>
      <c r="AY14" s="197">
        <v>199</v>
      </c>
      <c r="AZ14" s="197">
        <v>403.77</v>
      </c>
      <c r="BA14" s="197">
        <v>331.67</v>
      </c>
      <c r="BB14" s="197">
        <v>0</v>
      </c>
      <c r="BC14" s="197">
        <v>100</v>
      </c>
      <c r="BD14" s="197">
        <v>4</v>
      </c>
      <c r="BE14" s="197">
        <v>5</v>
      </c>
      <c r="BF14" s="197">
        <v>1</v>
      </c>
      <c r="BG14" s="197">
        <v>3</v>
      </c>
      <c r="BH14" s="197">
        <v>73.040000000000006</v>
      </c>
      <c r="BI14" s="197">
        <v>60</v>
      </c>
      <c r="BJ14" s="197">
        <v>0</v>
      </c>
      <c r="BK14" s="197">
        <v>100</v>
      </c>
      <c r="BL14" s="197">
        <v>1</v>
      </c>
      <c r="BM14" s="197">
        <v>1</v>
      </c>
      <c r="BN14" s="197">
        <v>0</v>
      </c>
      <c r="BO14" s="197">
        <v>6</v>
      </c>
      <c r="BP14" s="197">
        <v>730.43</v>
      </c>
      <c r="BQ14" s="197">
        <v>600</v>
      </c>
      <c r="BR14" s="197">
        <v>0</v>
      </c>
      <c r="BS14" s="197">
        <v>100</v>
      </c>
      <c r="BT14" s="197">
        <v>1</v>
      </c>
      <c r="BU14" s="197">
        <v>1</v>
      </c>
      <c r="BV14" s="197">
        <v>0</v>
      </c>
      <c r="BW14" s="197">
        <v>1</v>
      </c>
      <c r="BX14" s="197">
        <v>121.74</v>
      </c>
      <c r="BY14" s="197">
        <v>100</v>
      </c>
      <c r="BZ14" s="197">
        <v>0</v>
      </c>
      <c r="CA14" s="197">
        <v>100</v>
      </c>
      <c r="CB14" s="197">
        <v>7</v>
      </c>
      <c r="CC14" s="197">
        <v>8</v>
      </c>
      <c r="CD14" s="197">
        <v>0</v>
      </c>
      <c r="CE14" s="197">
        <v>17</v>
      </c>
      <c r="CF14" s="197">
        <v>258.7</v>
      </c>
      <c r="CG14" s="197">
        <v>212.5</v>
      </c>
      <c r="CH14" s="197">
        <v>0</v>
      </c>
      <c r="CI14" s="197">
        <v>100</v>
      </c>
      <c r="CJ14" s="197">
        <v>3</v>
      </c>
      <c r="CK14" s="197">
        <v>4</v>
      </c>
      <c r="CL14" s="197">
        <v>0</v>
      </c>
      <c r="CM14" s="197">
        <v>7</v>
      </c>
      <c r="CN14" s="197">
        <v>213.04</v>
      </c>
      <c r="CO14" s="197">
        <v>175</v>
      </c>
      <c r="CP14" s="197">
        <v>0</v>
      </c>
      <c r="CQ14" s="197">
        <v>100</v>
      </c>
      <c r="CR14" s="197">
        <v>3</v>
      </c>
      <c r="CS14" s="197">
        <v>4</v>
      </c>
      <c r="CT14" s="197">
        <v>0</v>
      </c>
      <c r="CU14" s="197">
        <v>9</v>
      </c>
      <c r="CV14" s="197">
        <v>273.91000000000003</v>
      </c>
      <c r="CW14" s="197">
        <v>225</v>
      </c>
      <c r="CX14" s="197">
        <v>0</v>
      </c>
      <c r="CY14" s="197">
        <v>100</v>
      </c>
      <c r="CZ14" s="197">
        <v>1</v>
      </c>
      <c r="DA14" s="197">
        <v>1</v>
      </c>
      <c r="DB14" s="197">
        <v>0</v>
      </c>
      <c r="DC14" s="197">
        <v>15</v>
      </c>
      <c r="DD14" s="197">
        <v>1826.09</v>
      </c>
      <c r="DE14" s="197">
        <v>1500</v>
      </c>
      <c r="DF14" s="197">
        <v>2</v>
      </c>
      <c r="DG14" s="197">
        <v>650</v>
      </c>
    </row>
    <row r="15" spans="1:111" ht="14.65" thickBot="1" x14ac:dyDescent="0.5">
      <c r="A15" s="163" t="s">
        <v>275</v>
      </c>
      <c r="B15" s="164" t="s">
        <v>276</v>
      </c>
      <c r="C15" s="164" t="s">
        <v>277</v>
      </c>
      <c r="D15" s="164" t="s">
        <v>278</v>
      </c>
      <c r="E15" s="196" t="s">
        <v>99</v>
      </c>
      <c r="F15" s="196" t="s">
        <v>188</v>
      </c>
      <c r="G15" s="196" t="s">
        <v>128</v>
      </c>
      <c r="H15" s="197">
        <v>7</v>
      </c>
      <c r="I15" s="197">
        <v>8</v>
      </c>
      <c r="J15" s="197">
        <v>1</v>
      </c>
      <c r="K15" s="197">
        <v>10</v>
      </c>
      <c r="L15" s="197">
        <v>152.16999999999999</v>
      </c>
      <c r="M15" s="197">
        <v>125</v>
      </c>
      <c r="N15" s="197">
        <v>0</v>
      </c>
      <c r="O15" s="197">
        <v>100</v>
      </c>
      <c r="P15" s="197">
        <v>3</v>
      </c>
      <c r="Q15" s="197">
        <v>4</v>
      </c>
      <c r="R15" s="197">
        <v>1</v>
      </c>
      <c r="S15" s="197">
        <v>3</v>
      </c>
      <c r="T15" s="197">
        <v>91.3</v>
      </c>
      <c r="U15" s="197">
        <v>75</v>
      </c>
      <c r="V15" s="197">
        <v>0</v>
      </c>
      <c r="W15" s="197">
        <v>100</v>
      </c>
      <c r="X15" s="197">
        <v>2</v>
      </c>
      <c r="Y15" s="197">
        <v>3</v>
      </c>
      <c r="Z15" s="197">
        <v>0</v>
      </c>
      <c r="AA15" s="197">
        <v>0</v>
      </c>
      <c r="AB15" s="197">
        <v>0</v>
      </c>
      <c r="AC15" s="197">
        <v>0</v>
      </c>
      <c r="AD15" s="197">
        <v>2</v>
      </c>
      <c r="AE15" s="197">
        <v>-100</v>
      </c>
      <c r="AF15" s="197">
        <v>4</v>
      </c>
      <c r="AG15" s="197">
        <v>5</v>
      </c>
      <c r="AH15" s="197">
        <v>0</v>
      </c>
      <c r="AI15" s="197">
        <v>0</v>
      </c>
      <c r="AJ15" s="197">
        <v>200</v>
      </c>
      <c r="AK15" s="197">
        <v>200</v>
      </c>
      <c r="AL15" s="197">
        <v>1</v>
      </c>
      <c r="AM15" s="197">
        <v>-100</v>
      </c>
      <c r="AN15" s="197">
        <v>3</v>
      </c>
      <c r="AO15" s="197">
        <v>4</v>
      </c>
      <c r="AP15" s="197">
        <v>0</v>
      </c>
      <c r="AQ15" s="197">
        <v>0</v>
      </c>
      <c r="AR15" s="197">
        <v>0</v>
      </c>
      <c r="AS15" s="197">
        <v>0</v>
      </c>
      <c r="AT15" s="197">
        <v>0</v>
      </c>
      <c r="AU15" s="197">
        <v>100</v>
      </c>
      <c r="AV15" s="197">
        <v>25</v>
      </c>
      <c r="AW15" s="197">
        <v>30</v>
      </c>
      <c r="AX15" s="197">
        <v>0</v>
      </c>
      <c r="AY15" s="197">
        <v>60</v>
      </c>
      <c r="AZ15" s="197">
        <v>243.48</v>
      </c>
      <c r="BA15" s="197">
        <v>200</v>
      </c>
      <c r="BB15" s="197">
        <v>0</v>
      </c>
      <c r="BC15" s="197">
        <v>100</v>
      </c>
      <c r="BD15" s="197">
        <v>4</v>
      </c>
      <c r="BE15" s="197">
        <v>5</v>
      </c>
      <c r="BF15" s="197">
        <v>1</v>
      </c>
      <c r="BG15" s="197">
        <v>3</v>
      </c>
      <c r="BH15" s="197">
        <v>73.040000000000006</v>
      </c>
      <c r="BI15" s="197">
        <v>60</v>
      </c>
      <c r="BJ15" s="197">
        <v>0</v>
      </c>
      <c r="BK15" s="197">
        <v>100</v>
      </c>
      <c r="BL15" s="197">
        <v>0</v>
      </c>
      <c r="BM15" s="197">
        <v>0</v>
      </c>
      <c r="BN15" s="197">
        <v>0</v>
      </c>
      <c r="BO15" s="197">
        <v>0</v>
      </c>
      <c r="BP15" s="197">
        <v>100</v>
      </c>
      <c r="BQ15" s="197">
        <v>100</v>
      </c>
      <c r="BR15" s="197">
        <v>0</v>
      </c>
      <c r="BS15" s="197">
        <v>100</v>
      </c>
      <c r="BT15" s="197">
        <v>1</v>
      </c>
      <c r="BU15" s="197">
        <v>1</v>
      </c>
      <c r="BV15" s="197">
        <v>0</v>
      </c>
      <c r="BW15" s="197">
        <v>1</v>
      </c>
      <c r="BX15" s="197">
        <v>121.74</v>
      </c>
      <c r="BY15" s="197">
        <v>100</v>
      </c>
      <c r="BZ15" s="197">
        <v>0</v>
      </c>
      <c r="CA15" s="197">
        <v>100</v>
      </c>
      <c r="CB15" s="197">
        <v>7</v>
      </c>
      <c r="CC15" s="197">
        <v>9</v>
      </c>
      <c r="CD15" s="197">
        <v>0</v>
      </c>
      <c r="CE15" s="197">
        <v>11</v>
      </c>
      <c r="CF15" s="197">
        <v>148.79</v>
      </c>
      <c r="CG15" s="197">
        <v>122.22</v>
      </c>
      <c r="CH15" s="197">
        <v>0</v>
      </c>
      <c r="CI15" s="197">
        <v>100</v>
      </c>
      <c r="CJ15" s="197">
        <v>4</v>
      </c>
      <c r="CK15" s="197">
        <v>5</v>
      </c>
      <c r="CL15" s="197">
        <v>0</v>
      </c>
      <c r="CM15" s="197">
        <v>6</v>
      </c>
      <c r="CN15" s="197">
        <v>146.09</v>
      </c>
      <c r="CO15" s="197">
        <v>120</v>
      </c>
      <c r="CP15" s="197">
        <v>0</v>
      </c>
      <c r="CQ15" s="197">
        <v>100</v>
      </c>
      <c r="CR15" s="197">
        <v>2</v>
      </c>
      <c r="CS15" s="197">
        <v>3</v>
      </c>
      <c r="CT15" s="197">
        <v>0</v>
      </c>
      <c r="CU15" s="197">
        <v>2</v>
      </c>
      <c r="CV15" s="197">
        <v>81.16</v>
      </c>
      <c r="CW15" s="197">
        <v>66.67</v>
      </c>
      <c r="CX15" s="197">
        <v>0</v>
      </c>
      <c r="CY15" s="197">
        <v>100</v>
      </c>
      <c r="CZ15" s="197">
        <v>1</v>
      </c>
      <c r="DA15" s="197">
        <v>1</v>
      </c>
      <c r="DB15" s="197">
        <v>0</v>
      </c>
      <c r="DC15" s="197">
        <v>1</v>
      </c>
      <c r="DD15" s="197">
        <v>121.74</v>
      </c>
      <c r="DE15" s="197">
        <v>100</v>
      </c>
      <c r="DF15" s="197">
        <v>0</v>
      </c>
      <c r="DG15" s="197">
        <v>100</v>
      </c>
    </row>
    <row r="16" spans="1:111" ht="14.65" thickBot="1" x14ac:dyDescent="0.5">
      <c r="A16" s="163" t="s">
        <v>275</v>
      </c>
      <c r="B16" s="164" t="s">
        <v>276</v>
      </c>
      <c r="C16" s="164" t="s">
        <v>277</v>
      </c>
      <c r="D16" s="164" t="s">
        <v>278</v>
      </c>
      <c r="E16" s="196" t="s">
        <v>102</v>
      </c>
      <c r="F16" s="196" t="s">
        <v>189</v>
      </c>
      <c r="G16" s="196" t="s">
        <v>179</v>
      </c>
      <c r="H16" s="197">
        <v>6</v>
      </c>
      <c r="I16" s="197">
        <v>7</v>
      </c>
      <c r="J16" s="197">
        <v>1</v>
      </c>
      <c r="K16" s="197">
        <v>6</v>
      </c>
      <c r="L16" s="197">
        <v>104.35</v>
      </c>
      <c r="M16" s="197">
        <v>85.71</v>
      </c>
      <c r="N16" s="197">
        <v>0</v>
      </c>
      <c r="O16" s="197">
        <v>100</v>
      </c>
      <c r="P16" s="197">
        <v>3</v>
      </c>
      <c r="Q16" s="197">
        <v>4</v>
      </c>
      <c r="R16" s="197">
        <v>0</v>
      </c>
      <c r="S16" s="197">
        <v>2</v>
      </c>
      <c r="T16" s="197">
        <v>60.87</v>
      </c>
      <c r="U16" s="197">
        <v>50</v>
      </c>
      <c r="V16" s="197">
        <v>0</v>
      </c>
      <c r="W16" s="197">
        <v>100</v>
      </c>
      <c r="X16" s="197">
        <v>2</v>
      </c>
      <c r="Y16" s="197">
        <v>3</v>
      </c>
      <c r="Z16" s="197">
        <v>0</v>
      </c>
      <c r="AA16" s="197">
        <v>0</v>
      </c>
      <c r="AB16" s="197">
        <v>0</v>
      </c>
      <c r="AC16" s="197">
        <v>0</v>
      </c>
      <c r="AD16" s="197">
        <v>0</v>
      </c>
      <c r="AE16" s="197">
        <v>100</v>
      </c>
      <c r="AF16" s="197">
        <v>3</v>
      </c>
      <c r="AG16" s="197">
        <v>4</v>
      </c>
      <c r="AH16" s="197">
        <v>0</v>
      </c>
      <c r="AI16" s="197">
        <v>5</v>
      </c>
      <c r="AJ16" s="197">
        <v>47.83</v>
      </c>
      <c r="AK16" s="197">
        <v>75</v>
      </c>
      <c r="AL16" s="197">
        <v>2</v>
      </c>
      <c r="AM16" s="197">
        <v>150</v>
      </c>
      <c r="AN16" s="197">
        <v>3</v>
      </c>
      <c r="AO16" s="197">
        <v>4</v>
      </c>
      <c r="AP16" s="197">
        <v>0</v>
      </c>
      <c r="AQ16" s="197">
        <v>0</v>
      </c>
      <c r="AR16" s="197">
        <v>0</v>
      </c>
      <c r="AS16" s="197">
        <v>0</v>
      </c>
      <c r="AT16" s="197">
        <v>0</v>
      </c>
      <c r="AU16" s="197">
        <v>100</v>
      </c>
      <c r="AV16" s="197">
        <v>29</v>
      </c>
      <c r="AW16" s="197">
        <v>35</v>
      </c>
      <c r="AX16" s="197">
        <v>0</v>
      </c>
      <c r="AY16" s="197">
        <v>93</v>
      </c>
      <c r="AZ16" s="197">
        <v>323.48</v>
      </c>
      <c r="BA16" s="197">
        <v>265.70999999999998</v>
      </c>
      <c r="BB16" s="197">
        <v>0</v>
      </c>
      <c r="BC16" s="197">
        <v>100</v>
      </c>
      <c r="BD16" s="197">
        <v>4</v>
      </c>
      <c r="BE16" s="197">
        <v>5</v>
      </c>
      <c r="BF16" s="197">
        <v>0</v>
      </c>
      <c r="BG16" s="197">
        <v>2</v>
      </c>
      <c r="BH16" s="197">
        <v>48.7</v>
      </c>
      <c r="BI16" s="197">
        <v>40</v>
      </c>
      <c r="BJ16" s="197">
        <v>0</v>
      </c>
      <c r="BK16" s="197">
        <v>100</v>
      </c>
      <c r="BL16" s="197">
        <v>1</v>
      </c>
      <c r="BM16" s="197">
        <v>1</v>
      </c>
      <c r="BN16" s="197">
        <v>0</v>
      </c>
      <c r="BO16" s="197">
        <v>2</v>
      </c>
      <c r="BP16" s="197">
        <v>243.48</v>
      </c>
      <c r="BQ16" s="197">
        <v>200</v>
      </c>
      <c r="BR16" s="197">
        <v>0</v>
      </c>
      <c r="BS16" s="197">
        <v>100</v>
      </c>
      <c r="BT16" s="197">
        <v>1</v>
      </c>
      <c r="BU16" s="197">
        <v>1</v>
      </c>
      <c r="BV16" s="197">
        <v>0</v>
      </c>
      <c r="BW16" s="197">
        <v>1</v>
      </c>
      <c r="BX16" s="197">
        <v>121.74</v>
      </c>
      <c r="BY16" s="197">
        <v>100</v>
      </c>
      <c r="BZ16" s="197">
        <v>0</v>
      </c>
      <c r="CA16" s="197">
        <v>100</v>
      </c>
      <c r="CB16" s="197">
        <v>7</v>
      </c>
      <c r="CC16" s="197">
        <v>8</v>
      </c>
      <c r="CD16" s="197">
        <v>0</v>
      </c>
      <c r="CE16" s="197">
        <v>6</v>
      </c>
      <c r="CF16" s="197">
        <v>91.3</v>
      </c>
      <c r="CG16" s="197">
        <v>75</v>
      </c>
      <c r="CH16" s="197">
        <v>0</v>
      </c>
      <c r="CI16" s="197">
        <v>100</v>
      </c>
      <c r="CJ16" s="197">
        <v>3</v>
      </c>
      <c r="CK16" s="197">
        <v>4</v>
      </c>
      <c r="CL16" s="197">
        <v>0</v>
      </c>
      <c r="CM16" s="197">
        <v>4</v>
      </c>
      <c r="CN16" s="197">
        <v>121.74</v>
      </c>
      <c r="CO16" s="197">
        <v>100</v>
      </c>
      <c r="CP16" s="197">
        <v>0</v>
      </c>
      <c r="CQ16" s="197">
        <v>100</v>
      </c>
      <c r="CR16" s="197">
        <v>3</v>
      </c>
      <c r="CS16" s="197">
        <v>4</v>
      </c>
      <c r="CT16" s="197">
        <v>1</v>
      </c>
      <c r="CU16" s="197">
        <v>8</v>
      </c>
      <c r="CV16" s="197">
        <v>243.48</v>
      </c>
      <c r="CW16" s="197">
        <v>200</v>
      </c>
      <c r="CX16" s="197">
        <v>0</v>
      </c>
      <c r="CY16" s="197">
        <v>100</v>
      </c>
      <c r="CZ16" s="197">
        <v>1</v>
      </c>
      <c r="DA16" s="197">
        <v>1</v>
      </c>
      <c r="DB16" s="197">
        <v>0</v>
      </c>
      <c r="DC16" s="197">
        <v>10</v>
      </c>
      <c r="DD16" s="197">
        <v>1217.3900000000001</v>
      </c>
      <c r="DE16" s="197">
        <v>1000</v>
      </c>
      <c r="DF16" s="197">
        <v>1</v>
      </c>
      <c r="DG16" s="197">
        <v>900</v>
      </c>
    </row>
    <row r="17" spans="1:111" ht="14.65" thickBot="1" x14ac:dyDescent="0.5">
      <c r="A17" s="163" t="s">
        <v>275</v>
      </c>
      <c r="B17" s="164" t="s">
        <v>276</v>
      </c>
      <c r="C17" s="164" t="s">
        <v>277</v>
      </c>
      <c r="D17" s="164" t="s">
        <v>278</v>
      </c>
      <c r="E17" s="196" t="s">
        <v>105</v>
      </c>
      <c r="F17" s="196" t="s">
        <v>190</v>
      </c>
      <c r="G17" s="196" t="s">
        <v>179</v>
      </c>
      <c r="H17" s="197">
        <v>6</v>
      </c>
      <c r="I17" s="197">
        <v>7</v>
      </c>
      <c r="J17" s="197">
        <v>0</v>
      </c>
      <c r="K17" s="197">
        <v>5</v>
      </c>
      <c r="L17" s="197">
        <v>86.96</v>
      </c>
      <c r="M17" s="197">
        <v>71.430000000000007</v>
      </c>
      <c r="N17" s="197">
        <v>0</v>
      </c>
      <c r="O17" s="197">
        <v>100</v>
      </c>
      <c r="P17" s="197">
        <v>3</v>
      </c>
      <c r="Q17" s="197">
        <v>4</v>
      </c>
      <c r="R17" s="197">
        <v>0</v>
      </c>
      <c r="S17" s="197">
        <v>6</v>
      </c>
      <c r="T17" s="197">
        <v>182.61</v>
      </c>
      <c r="U17" s="197">
        <v>150</v>
      </c>
      <c r="V17" s="197">
        <v>0</v>
      </c>
      <c r="W17" s="197">
        <v>100</v>
      </c>
      <c r="X17" s="197">
        <v>2</v>
      </c>
      <c r="Y17" s="197">
        <v>3</v>
      </c>
      <c r="Z17" s="197">
        <v>0</v>
      </c>
      <c r="AA17" s="197">
        <v>1</v>
      </c>
      <c r="AB17" s="197">
        <v>40.58</v>
      </c>
      <c r="AC17" s="197">
        <v>33.33</v>
      </c>
      <c r="AD17" s="197">
        <v>0</v>
      </c>
      <c r="AE17" s="197">
        <v>100</v>
      </c>
      <c r="AF17" s="197">
        <v>3</v>
      </c>
      <c r="AG17" s="197">
        <v>4</v>
      </c>
      <c r="AH17" s="197">
        <v>0</v>
      </c>
      <c r="AI17" s="197">
        <v>2</v>
      </c>
      <c r="AJ17" s="197">
        <v>139.13</v>
      </c>
      <c r="AK17" s="197">
        <v>150</v>
      </c>
      <c r="AL17" s="197">
        <v>1</v>
      </c>
      <c r="AM17" s="197">
        <v>100</v>
      </c>
      <c r="AN17" s="197">
        <v>3</v>
      </c>
      <c r="AO17" s="197">
        <v>4</v>
      </c>
      <c r="AP17" s="197">
        <v>0</v>
      </c>
      <c r="AQ17" s="197">
        <v>0</v>
      </c>
      <c r="AR17" s="197">
        <v>0</v>
      </c>
      <c r="AS17" s="197">
        <v>0</v>
      </c>
      <c r="AT17" s="197">
        <v>0</v>
      </c>
      <c r="AU17" s="197">
        <v>100</v>
      </c>
      <c r="AV17" s="197">
        <v>29</v>
      </c>
      <c r="AW17" s="197">
        <v>35</v>
      </c>
      <c r="AX17" s="197">
        <v>0</v>
      </c>
      <c r="AY17" s="197">
        <v>57</v>
      </c>
      <c r="AZ17" s="197">
        <v>198.26</v>
      </c>
      <c r="BA17" s="197">
        <v>162.86000000000001</v>
      </c>
      <c r="BB17" s="197">
        <v>0</v>
      </c>
      <c r="BC17" s="197">
        <v>100</v>
      </c>
      <c r="BD17" s="197">
        <v>4</v>
      </c>
      <c r="BE17" s="197">
        <v>5</v>
      </c>
      <c r="BF17" s="197">
        <v>1</v>
      </c>
      <c r="BG17" s="197">
        <v>6</v>
      </c>
      <c r="BH17" s="197">
        <v>146.09</v>
      </c>
      <c r="BI17" s="197">
        <v>120</v>
      </c>
      <c r="BJ17" s="197">
        <v>0</v>
      </c>
      <c r="BK17" s="197">
        <v>100</v>
      </c>
      <c r="BL17" s="197">
        <v>0</v>
      </c>
      <c r="BM17" s="197">
        <v>0</v>
      </c>
      <c r="BN17" s="197">
        <v>0</v>
      </c>
      <c r="BO17" s="197">
        <v>0</v>
      </c>
      <c r="BP17" s="197">
        <v>100</v>
      </c>
      <c r="BQ17" s="197">
        <v>100</v>
      </c>
      <c r="BR17" s="197">
        <v>0</v>
      </c>
      <c r="BS17" s="197">
        <v>100</v>
      </c>
      <c r="BT17" s="197">
        <v>1</v>
      </c>
      <c r="BU17" s="197">
        <v>1</v>
      </c>
      <c r="BV17" s="197">
        <v>0</v>
      </c>
      <c r="BW17" s="197">
        <v>0</v>
      </c>
      <c r="BX17" s="197">
        <v>0</v>
      </c>
      <c r="BY17" s="197">
        <v>0</v>
      </c>
      <c r="BZ17" s="197">
        <v>0</v>
      </c>
      <c r="CA17" s="197">
        <v>100</v>
      </c>
      <c r="CB17" s="197">
        <v>7</v>
      </c>
      <c r="CC17" s="197">
        <v>8</v>
      </c>
      <c r="CD17" s="197">
        <v>0</v>
      </c>
      <c r="CE17" s="197">
        <v>11</v>
      </c>
      <c r="CF17" s="197">
        <v>167.39</v>
      </c>
      <c r="CG17" s="197">
        <v>137.5</v>
      </c>
      <c r="CH17" s="197">
        <v>0</v>
      </c>
      <c r="CI17" s="197">
        <v>100</v>
      </c>
      <c r="CJ17" s="197">
        <v>3</v>
      </c>
      <c r="CK17" s="197">
        <v>4</v>
      </c>
      <c r="CL17" s="197">
        <v>0</v>
      </c>
      <c r="CM17" s="197">
        <v>6</v>
      </c>
      <c r="CN17" s="197">
        <v>182.61</v>
      </c>
      <c r="CO17" s="197">
        <v>150</v>
      </c>
      <c r="CP17" s="197">
        <v>0</v>
      </c>
      <c r="CQ17" s="197">
        <v>100</v>
      </c>
      <c r="CR17" s="197">
        <v>3</v>
      </c>
      <c r="CS17" s="197">
        <v>4</v>
      </c>
      <c r="CT17" s="197">
        <v>0</v>
      </c>
      <c r="CU17" s="197">
        <v>5</v>
      </c>
      <c r="CV17" s="197">
        <v>152.16999999999999</v>
      </c>
      <c r="CW17" s="197">
        <v>125</v>
      </c>
      <c r="CX17" s="197">
        <v>0</v>
      </c>
      <c r="CY17" s="197">
        <v>100</v>
      </c>
      <c r="CZ17" s="197">
        <v>1</v>
      </c>
      <c r="DA17" s="197">
        <v>1</v>
      </c>
      <c r="DB17" s="197">
        <v>0</v>
      </c>
      <c r="DC17" s="197">
        <v>10</v>
      </c>
      <c r="DD17" s="197">
        <v>1217.3900000000001</v>
      </c>
      <c r="DE17" s="197">
        <v>1000</v>
      </c>
      <c r="DF17" s="197">
        <v>0</v>
      </c>
      <c r="DG17" s="197">
        <v>100</v>
      </c>
    </row>
    <row r="18" spans="1:111" ht="14.65" thickBot="1" x14ac:dyDescent="0.5">
      <c r="A18" s="163" t="s">
        <v>275</v>
      </c>
      <c r="B18" s="164" t="s">
        <v>276</v>
      </c>
      <c r="C18" s="164" t="s">
        <v>277</v>
      </c>
      <c r="D18" s="164" t="s">
        <v>278</v>
      </c>
      <c r="E18" s="196" t="s">
        <v>107</v>
      </c>
      <c r="F18" s="196" t="s">
        <v>191</v>
      </c>
      <c r="G18" s="196" t="s">
        <v>129</v>
      </c>
      <c r="H18" s="197">
        <v>6</v>
      </c>
      <c r="I18" s="197">
        <v>7</v>
      </c>
      <c r="J18" s="197">
        <v>0</v>
      </c>
      <c r="K18" s="197">
        <v>6</v>
      </c>
      <c r="L18" s="197">
        <v>104.35</v>
      </c>
      <c r="M18" s="197">
        <v>85.71</v>
      </c>
      <c r="N18" s="197">
        <v>0</v>
      </c>
      <c r="O18" s="197">
        <v>100</v>
      </c>
      <c r="P18" s="197">
        <v>3</v>
      </c>
      <c r="Q18" s="197">
        <v>4</v>
      </c>
      <c r="R18" s="197">
        <v>0</v>
      </c>
      <c r="S18" s="197">
        <v>9</v>
      </c>
      <c r="T18" s="197">
        <v>273.91000000000003</v>
      </c>
      <c r="U18" s="197">
        <v>225</v>
      </c>
      <c r="V18" s="197">
        <v>0</v>
      </c>
      <c r="W18" s="197">
        <v>100</v>
      </c>
      <c r="X18" s="197">
        <v>2</v>
      </c>
      <c r="Y18" s="197">
        <v>3</v>
      </c>
      <c r="Z18" s="197">
        <v>0</v>
      </c>
      <c r="AA18" s="197">
        <v>1</v>
      </c>
      <c r="AB18" s="197">
        <v>40.58</v>
      </c>
      <c r="AC18" s="197">
        <v>33.33</v>
      </c>
      <c r="AD18" s="197">
        <v>0</v>
      </c>
      <c r="AE18" s="197">
        <v>100</v>
      </c>
      <c r="AF18" s="197">
        <v>4</v>
      </c>
      <c r="AG18" s="197">
        <v>5</v>
      </c>
      <c r="AH18" s="197">
        <v>0</v>
      </c>
      <c r="AI18" s="197">
        <v>3</v>
      </c>
      <c r="AJ18" s="197">
        <v>126.96</v>
      </c>
      <c r="AK18" s="197">
        <v>140</v>
      </c>
      <c r="AL18" s="197">
        <v>0</v>
      </c>
      <c r="AM18" s="197">
        <v>100</v>
      </c>
      <c r="AN18" s="197">
        <v>3</v>
      </c>
      <c r="AO18" s="197">
        <v>4</v>
      </c>
      <c r="AP18" s="197">
        <v>0</v>
      </c>
      <c r="AQ18" s="197">
        <v>0</v>
      </c>
      <c r="AR18" s="197">
        <v>0</v>
      </c>
      <c r="AS18" s="197">
        <v>0</v>
      </c>
      <c r="AT18" s="197">
        <v>0</v>
      </c>
      <c r="AU18" s="197">
        <v>100</v>
      </c>
      <c r="AV18" s="197">
        <v>25</v>
      </c>
      <c r="AW18" s="197">
        <v>30</v>
      </c>
      <c r="AX18" s="197">
        <v>0</v>
      </c>
      <c r="AY18" s="197">
        <v>67</v>
      </c>
      <c r="AZ18" s="197">
        <v>271.88</v>
      </c>
      <c r="BA18" s="197">
        <v>223.33</v>
      </c>
      <c r="BB18" s="197">
        <v>0</v>
      </c>
      <c r="BC18" s="197">
        <v>100</v>
      </c>
      <c r="BD18" s="197">
        <v>4</v>
      </c>
      <c r="BE18" s="197">
        <v>5</v>
      </c>
      <c r="BF18" s="197">
        <v>1</v>
      </c>
      <c r="BG18" s="197">
        <v>3</v>
      </c>
      <c r="BH18" s="197">
        <v>73.040000000000006</v>
      </c>
      <c r="BI18" s="197">
        <v>60</v>
      </c>
      <c r="BJ18" s="197">
        <v>0</v>
      </c>
      <c r="BK18" s="197">
        <v>100</v>
      </c>
      <c r="BL18" s="197">
        <v>0</v>
      </c>
      <c r="BM18" s="197">
        <v>0</v>
      </c>
      <c r="BN18" s="197">
        <v>0</v>
      </c>
      <c r="BO18" s="197">
        <v>2</v>
      </c>
      <c r="BP18" s="197">
        <v>100</v>
      </c>
      <c r="BQ18" s="197">
        <v>100</v>
      </c>
      <c r="BR18" s="197">
        <v>0</v>
      </c>
      <c r="BS18" s="197">
        <v>100</v>
      </c>
      <c r="BT18" s="197">
        <v>1</v>
      </c>
      <c r="BU18" s="197">
        <v>1</v>
      </c>
      <c r="BV18" s="197">
        <v>0</v>
      </c>
      <c r="BW18" s="197">
        <v>0</v>
      </c>
      <c r="BX18" s="197">
        <v>0</v>
      </c>
      <c r="BY18" s="197">
        <v>0</v>
      </c>
      <c r="BZ18" s="197">
        <v>0</v>
      </c>
      <c r="CA18" s="197">
        <v>100</v>
      </c>
      <c r="CB18" s="197">
        <v>7</v>
      </c>
      <c r="CC18" s="197">
        <v>8</v>
      </c>
      <c r="CD18" s="197">
        <v>0</v>
      </c>
      <c r="CE18" s="197">
        <v>8</v>
      </c>
      <c r="CF18" s="197">
        <v>121.74</v>
      </c>
      <c r="CG18" s="197">
        <v>100</v>
      </c>
      <c r="CH18" s="197">
        <v>0</v>
      </c>
      <c r="CI18" s="197">
        <v>100</v>
      </c>
      <c r="CJ18" s="197">
        <v>3</v>
      </c>
      <c r="CK18" s="197">
        <v>4</v>
      </c>
      <c r="CL18" s="197">
        <v>0</v>
      </c>
      <c r="CM18" s="197">
        <v>6</v>
      </c>
      <c r="CN18" s="197">
        <v>182.61</v>
      </c>
      <c r="CO18" s="197">
        <v>150</v>
      </c>
      <c r="CP18" s="197">
        <v>0</v>
      </c>
      <c r="CQ18" s="197">
        <v>100</v>
      </c>
      <c r="CR18" s="197">
        <v>3</v>
      </c>
      <c r="CS18" s="197">
        <v>4</v>
      </c>
      <c r="CT18" s="197">
        <v>0</v>
      </c>
      <c r="CU18" s="197">
        <v>5</v>
      </c>
      <c r="CV18" s="197">
        <v>152.16999999999999</v>
      </c>
      <c r="CW18" s="197">
        <v>125</v>
      </c>
      <c r="CX18" s="197">
        <v>0</v>
      </c>
      <c r="CY18" s="197">
        <v>100</v>
      </c>
      <c r="CZ18" s="197">
        <v>1</v>
      </c>
      <c r="DA18" s="197">
        <v>1</v>
      </c>
      <c r="DB18" s="197">
        <v>0</v>
      </c>
      <c r="DC18" s="197">
        <v>9</v>
      </c>
      <c r="DD18" s="197">
        <v>1095.6500000000001</v>
      </c>
      <c r="DE18" s="197">
        <v>900</v>
      </c>
      <c r="DF18" s="197">
        <v>1</v>
      </c>
      <c r="DG18" s="197">
        <v>800</v>
      </c>
    </row>
    <row r="19" spans="1:111" ht="14.65" thickBot="1" x14ac:dyDescent="0.5">
      <c r="A19" s="163" t="s">
        <v>275</v>
      </c>
      <c r="B19" s="164" t="s">
        <v>276</v>
      </c>
      <c r="C19" s="164" t="s">
        <v>277</v>
      </c>
      <c r="D19" s="164" t="s">
        <v>278</v>
      </c>
      <c r="E19" s="196" t="s">
        <v>110</v>
      </c>
      <c r="F19" s="196" t="s">
        <v>192</v>
      </c>
      <c r="G19" s="196" t="s">
        <v>128</v>
      </c>
      <c r="H19" s="197">
        <v>7</v>
      </c>
      <c r="I19" s="197">
        <v>8</v>
      </c>
      <c r="J19" s="197">
        <v>0</v>
      </c>
      <c r="K19" s="197">
        <v>8</v>
      </c>
      <c r="L19" s="197">
        <v>121.74</v>
      </c>
      <c r="M19" s="197">
        <v>100</v>
      </c>
      <c r="N19" s="197">
        <v>0</v>
      </c>
      <c r="O19" s="197">
        <v>100</v>
      </c>
      <c r="P19" s="197">
        <v>3</v>
      </c>
      <c r="Q19" s="197">
        <v>4</v>
      </c>
      <c r="R19" s="197">
        <v>0</v>
      </c>
      <c r="S19" s="197">
        <v>2</v>
      </c>
      <c r="T19" s="197">
        <v>60.87</v>
      </c>
      <c r="U19" s="197">
        <v>50</v>
      </c>
      <c r="V19" s="197">
        <v>0</v>
      </c>
      <c r="W19" s="197">
        <v>100</v>
      </c>
      <c r="X19" s="197">
        <v>2</v>
      </c>
      <c r="Y19" s="197">
        <v>2</v>
      </c>
      <c r="Z19" s="197">
        <v>0</v>
      </c>
      <c r="AA19" s="197">
        <v>0</v>
      </c>
      <c r="AB19" s="197">
        <v>0</v>
      </c>
      <c r="AC19" s="197">
        <v>0</v>
      </c>
      <c r="AD19" s="197">
        <v>0</v>
      </c>
      <c r="AE19" s="197">
        <v>100</v>
      </c>
      <c r="AF19" s="197">
        <v>4</v>
      </c>
      <c r="AG19" s="197">
        <v>5</v>
      </c>
      <c r="AH19" s="197">
        <v>0</v>
      </c>
      <c r="AI19" s="197">
        <v>2</v>
      </c>
      <c r="AJ19" s="197">
        <v>151.30000000000001</v>
      </c>
      <c r="AK19" s="197">
        <v>160</v>
      </c>
      <c r="AL19" s="197">
        <v>0</v>
      </c>
      <c r="AM19" s="197">
        <v>100</v>
      </c>
      <c r="AN19" s="197">
        <v>3</v>
      </c>
      <c r="AO19" s="197">
        <v>4</v>
      </c>
      <c r="AP19" s="197">
        <v>0</v>
      </c>
      <c r="AQ19" s="197">
        <v>0</v>
      </c>
      <c r="AR19" s="197">
        <v>0</v>
      </c>
      <c r="AS19" s="197">
        <v>0</v>
      </c>
      <c r="AT19" s="197">
        <v>0</v>
      </c>
      <c r="AU19" s="197">
        <v>100</v>
      </c>
      <c r="AV19" s="197">
        <v>25</v>
      </c>
      <c r="AW19" s="197">
        <v>30</v>
      </c>
      <c r="AX19" s="197">
        <v>0</v>
      </c>
      <c r="AY19" s="197">
        <v>13</v>
      </c>
      <c r="AZ19" s="197">
        <v>52.75</v>
      </c>
      <c r="BA19" s="197">
        <v>43.33</v>
      </c>
      <c r="BB19" s="197">
        <v>0</v>
      </c>
      <c r="BC19" s="197">
        <v>100</v>
      </c>
      <c r="BD19" s="197">
        <v>4</v>
      </c>
      <c r="BE19" s="197">
        <v>5</v>
      </c>
      <c r="BF19" s="197">
        <v>0</v>
      </c>
      <c r="BG19" s="197">
        <v>1</v>
      </c>
      <c r="BH19" s="197">
        <v>24.35</v>
      </c>
      <c r="BI19" s="197">
        <v>20</v>
      </c>
      <c r="BJ19" s="197">
        <v>0</v>
      </c>
      <c r="BK19" s="197">
        <v>100</v>
      </c>
      <c r="BL19" s="197">
        <v>0</v>
      </c>
      <c r="BM19" s="197">
        <v>0</v>
      </c>
      <c r="BN19" s="197">
        <v>0</v>
      </c>
      <c r="BO19" s="197">
        <v>0</v>
      </c>
      <c r="BP19" s="197">
        <v>100</v>
      </c>
      <c r="BQ19" s="197">
        <v>100</v>
      </c>
      <c r="BR19" s="197">
        <v>0</v>
      </c>
      <c r="BS19" s="197">
        <v>100</v>
      </c>
      <c r="BT19" s="197">
        <v>1</v>
      </c>
      <c r="BU19" s="197">
        <v>1</v>
      </c>
      <c r="BV19" s="197">
        <v>0</v>
      </c>
      <c r="BW19" s="197">
        <v>0</v>
      </c>
      <c r="BX19" s="197">
        <v>0</v>
      </c>
      <c r="BY19" s="197">
        <v>0</v>
      </c>
      <c r="BZ19" s="197">
        <v>0</v>
      </c>
      <c r="CA19" s="197">
        <v>100</v>
      </c>
      <c r="CB19" s="197">
        <v>7</v>
      </c>
      <c r="CC19" s="197">
        <v>9</v>
      </c>
      <c r="CD19" s="197">
        <v>0</v>
      </c>
      <c r="CE19" s="197">
        <v>0</v>
      </c>
      <c r="CF19" s="197">
        <v>0</v>
      </c>
      <c r="CG19" s="197">
        <v>0</v>
      </c>
      <c r="CH19" s="197">
        <v>0</v>
      </c>
      <c r="CI19" s="197">
        <v>100</v>
      </c>
      <c r="CJ19" s="197">
        <v>4</v>
      </c>
      <c r="CK19" s="197">
        <v>5</v>
      </c>
      <c r="CL19" s="197">
        <v>0</v>
      </c>
      <c r="CM19" s="197">
        <v>3</v>
      </c>
      <c r="CN19" s="197">
        <v>73.040000000000006</v>
      </c>
      <c r="CO19" s="197">
        <v>60</v>
      </c>
      <c r="CP19" s="197">
        <v>0</v>
      </c>
      <c r="CQ19" s="197">
        <v>100</v>
      </c>
      <c r="CR19" s="197">
        <v>2</v>
      </c>
      <c r="CS19" s="197">
        <v>3</v>
      </c>
      <c r="CT19" s="197">
        <v>0</v>
      </c>
      <c r="CU19" s="197">
        <v>1</v>
      </c>
      <c r="CV19" s="197">
        <v>40.58</v>
      </c>
      <c r="CW19" s="197">
        <v>33.33</v>
      </c>
      <c r="CX19" s="197">
        <v>0</v>
      </c>
      <c r="CY19" s="197">
        <v>100</v>
      </c>
      <c r="CZ19" s="197">
        <v>1</v>
      </c>
      <c r="DA19" s="197">
        <v>1</v>
      </c>
      <c r="DB19" s="197">
        <v>0</v>
      </c>
      <c r="DC19" s="197">
        <v>1</v>
      </c>
      <c r="DD19" s="197">
        <v>121.74</v>
      </c>
      <c r="DE19" s="197">
        <v>100</v>
      </c>
      <c r="DF19" s="197">
        <v>0</v>
      </c>
      <c r="DG19" s="197">
        <v>100</v>
      </c>
    </row>
    <row r="20" spans="1:111" ht="14.65" thickBot="1" x14ac:dyDescent="0.5">
      <c r="A20" s="163" t="s">
        <v>275</v>
      </c>
      <c r="B20" s="164" t="s">
        <v>276</v>
      </c>
      <c r="C20" s="164" t="s">
        <v>277</v>
      </c>
      <c r="D20" s="164" t="s">
        <v>278</v>
      </c>
      <c r="E20" s="196" t="s">
        <v>113</v>
      </c>
      <c r="F20" s="196" t="s">
        <v>193</v>
      </c>
      <c r="G20" s="196" t="s">
        <v>129</v>
      </c>
      <c r="H20" s="197">
        <v>6</v>
      </c>
      <c r="I20" s="197">
        <v>7</v>
      </c>
      <c r="J20" s="197">
        <v>1</v>
      </c>
      <c r="K20" s="197">
        <v>7</v>
      </c>
      <c r="L20" s="197">
        <v>121.74</v>
      </c>
      <c r="M20" s="197">
        <v>100</v>
      </c>
      <c r="N20" s="197">
        <v>0</v>
      </c>
      <c r="O20" s="197">
        <v>100</v>
      </c>
      <c r="P20" s="197">
        <v>3</v>
      </c>
      <c r="Q20" s="197">
        <v>4</v>
      </c>
      <c r="R20" s="197">
        <v>0</v>
      </c>
      <c r="S20" s="197">
        <v>5</v>
      </c>
      <c r="T20" s="197">
        <v>152.16999999999999</v>
      </c>
      <c r="U20" s="197">
        <v>125</v>
      </c>
      <c r="V20" s="197">
        <v>0</v>
      </c>
      <c r="W20" s="197">
        <v>100</v>
      </c>
      <c r="X20" s="197">
        <v>2</v>
      </c>
      <c r="Y20" s="197">
        <v>2</v>
      </c>
      <c r="Z20" s="197">
        <v>0</v>
      </c>
      <c r="AA20" s="197">
        <v>0</v>
      </c>
      <c r="AB20" s="197">
        <v>0</v>
      </c>
      <c r="AC20" s="197">
        <v>0</v>
      </c>
      <c r="AD20" s="197">
        <v>0</v>
      </c>
      <c r="AE20" s="197">
        <v>100</v>
      </c>
      <c r="AF20" s="197">
        <v>3</v>
      </c>
      <c r="AG20" s="197">
        <v>4</v>
      </c>
      <c r="AH20" s="197">
        <v>0</v>
      </c>
      <c r="AI20" s="197">
        <v>0</v>
      </c>
      <c r="AJ20" s="197">
        <v>200</v>
      </c>
      <c r="AK20" s="197">
        <v>200</v>
      </c>
      <c r="AL20" s="197">
        <v>0</v>
      </c>
      <c r="AM20" s="197">
        <v>100</v>
      </c>
      <c r="AN20" s="197">
        <v>3</v>
      </c>
      <c r="AO20" s="197">
        <v>4</v>
      </c>
      <c r="AP20" s="197">
        <v>0</v>
      </c>
      <c r="AQ20" s="197">
        <v>0</v>
      </c>
      <c r="AR20" s="197">
        <v>0</v>
      </c>
      <c r="AS20" s="197">
        <v>0</v>
      </c>
      <c r="AT20" s="197">
        <v>0</v>
      </c>
      <c r="AU20" s="197">
        <v>100</v>
      </c>
      <c r="AV20" s="197">
        <v>25</v>
      </c>
      <c r="AW20" s="197">
        <v>30</v>
      </c>
      <c r="AX20" s="197">
        <v>0</v>
      </c>
      <c r="AY20" s="197">
        <v>51</v>
      </c>
      <c r="AZ20" s="197">
        <v>206.96</v>
      </c>
      <c r="BA20" s="197">
        <v>170</v>
      </c>
      <c r="BB20" s="197">
        <v>0</v>
      </c>
      <c r="BC20" s="197">
        <v>100</v>
      </c>
      <c r="BD20" s="197">
        <v>4</v>
      </c>
      <c r="BE20" s="197">
        <v>5</v>
      </c>
      <c r="BF20" s="197">
        <v>1</v>
      </c>
      <c r="BG20" s="197">
        <v>2</v>
      </c>
      <c r="BH20" s="197">
        <v>48.7</v>
      </c>
      <c r="BI20" s="197">
        <v>40</v>
      </c>
      <c r="BJ20" s="197">
        <v>0</v>
      </c>
      <c r="BK20" s="197">
        <v>100</v>
      </c>
      <c r="BL20" s="197">
        <v>0</v>
      </c>
      <c r="BM20" s="197">
        <v>0</v>
      </c>
      <c r="BN20" s="197">
        <v>0</v>
      </c>
      <c r="BO20" s="197">
        <v>0</v>
      </c>
      <c r="BP20" s="197">
        <v>100</v>
      </c>
      <c r="BQ20" s="197">
        <v>100</v>
      </c>
      <c r="BR20" s="197">
        <v>0</v>
      </c>
      <c r="BS20" s="197">
        <v>100</v>
      </c>
      <c r="BT20" s="197">
        <v>1</v>
      </c>
      <c r="BU20" s="197">
        <v>1</v>
      </c>
      <c r="BV20" s="197">
        <v>0</v>
      </c>
      <c r="BW20" s="197">
        <v>0</v>
      </c>
      <c r="BX20" s="197">
        <v>0</v>
      </c>
      <c r="BY20" s="197">
        <v>0</v>
      </c>
      <c r="BZ20" s="197">
        <v>0</v>
      </c>
      <c r="CA20" s="197">
        <v>100</v>
      </c>
      <c r="CB20" s="197">
        <v>7</v>
      </c>
      <c r="CC20" s="197">
        <v>8</v>
      </c>
      <c r="CD20" s="197">
        <v>0</v>
      </c>
      <c r="CE20" s="197">
        <v>5</v>
      </c>
      <c r="CF20" s="197">
        <v>76.09</v>
      </c>
      <c r="CG20" s="197">
        <v>62.5</v>
      </c>
      <c r="CH20" s="197">
        <v>0</v>
      </c>
      <c r="CI20" s="197">
        <v>100</v>
      </c>
      <c r="CJ20" s="197">
        <v>3</v>
      </c>
      <c r="CK20" s="197">
        <v>4</v>
      </c>
      <c r="CL20" s="197">
        <v>0</v>
      </c>
      <c r="CM20" s="197">
        <v>2</v>
      </c>
      <c r="CN20" s="197">
        <v>60.87</v>
      </c>
      <c r="CO20" s="197">
        <v>50</v>
      </c>
      <c r="CP20" s="197">
        <v>1</v>
      </c>
      <c r="CQ20" s="197">
        <v>100</v>
      </c>
      <c r="CR20" s="197">
        <v>3</v>
      </c>
      <c r="CS20" s="197">
        <v>4</v>
      </c>
      <c r="CT20" s="197">
        <v>0</v>
      </c>
      <c r="CU20" s="197">
        <v>4</v>
      </c>
      <c r="CV20" s="197">
        <v>121.74</v>
      </c>
      <c r="CW20" s="197">
        <v>100</v>
      </c>
      <c r="CX20" s="197">
        <v>0</v>
      </c>
      <c r="CY20" s="197">
        <v>100</v>
      </c>
      <c r="CZ20" s="197">
        <v>1</v>
      </c>
      <c r="DA20" s="197">
        <v>1</v>
      </c>
      <c r="DB20" s="197">
        <v>0</v>
      </c>
      <c r="DC20" s="197">
        <v>1</v>
      </c>
      <c r="DD20" s="197">
        <v>121.74</v>
      </c>
      <c r="DE20" s="197">
        <v>100</v>
      </c>
      <c r="DF20" s="197">
        <v>0</v>
      </c>
      <c r="DG20" s="197">
        <v>100</v>
      </c>
    </row>
    <row r="21" spans="1:111" ht="14.65" thickBot="1" x14ac:dyDescent="0.5">
      <c r="A21" s="163" t="s">
        <v>275</v>
      </c>
      <c r="B21" s="164" t="s">
        <v>276</v>
      </c>
      <c r="C21" s="164" t="s">
        <v>277</v>
      </c>
      <c r="D21" s="164" t="s">
        <v>278</v>
      </c>
      <c r="E21" s="196" t="s">
        <v>115</v>
      </c>
      <c r="F21" s="196" t="s">
        <v>194</v>
      </c>
      <c r="G21" s="196" t="s">
        <v>179</v>
      </c>
      <c r="H21" s="197">
        <v>4</v>
      </c>
      <c r="I21" s="197">
        <v>5</v>
      </c>
      <c r="J21" s="197">
        <v>0</v>
      </c>
      <c r="K21" s="197">
        <v>3</v>
      </c>
      <c r="L21" s="197">
        <v>73.040000000000006</v>
      </c>
      <c r="M21" s="197">
        <v>60</v>
      </c>
      <c r="N21" s="197">
        <v>1</v>
      </c>
      <c r="O21" s="197">
        <v>200</v>
      </c>
      <c r="P21" s="197">
        <v>2</v>
      </c>
      <c r="Q21" s="197">
        <v>3</v>
      </c>
      <c r="R21" s="197">
        <v>0</v>
      </c>
      <c r="S21" s="197">
        <v>3</v>
      </c>
      <c r="T21" s="197">
        <v>121.74</v>
      </c>
      <c r="U21" s="197">
        <v>100</v>
      </c>
      <c r="V21" s="197">
        <v>1</v>
      </c>
      <c r="W21" s="197">
        <v>200</v>
      </c>
      <c r="X21" s="197">
        <v>2</v>
      </c>
      <c r="Y21" s="197">
        <v>2</v>
      </c>
      <c r="Z21" s="197">
        <v>0</v>
      </c>
      <c r="AA21" s="197">
        <v>0</v>
      </c>
      <c r="AB21" s="197">
        <v>0</v>
      </c>
      <c r="AC21" s="197">
        <v>0</v>
      </c>
      <c r="AD21" s="197">
        <v>0</v>
      </c>
      <c r="AE21" s="197">
        <v>100</v>
      </c>
      <c r="AF21" s="197">
        <v>2</v>
      </c>
      <c r="AG21" s="197">
        <v>3</v>
      </c>
      <c r="AH21" s="197">
        <v>0</v>
      </c>
      <c r="AI21" s="197">
        <v>1</v>
      </c>
      <c r="AJ21" s="197">
        <v>159.41999999999999</v>
      </c>
      <c r="AK21" s="197">
        <v>166.67</v>
      </c>
      <c r="AL21" s="197">
        <v>1</v>
      </c>
      <c r="AM21" s="197">
        <v>0</v>
      </c>
      <c r="AN21" s="197">
        <v>3</v>
      </c>
      <c r="AO21" s="197">
        <v>4</v>
      </c>
      <c r="AP21" s="197">
        <v>0</v>
      </c>
      <c r="AQ21" s="197">
        <v>0</v>
      </c>
      <c r="AR21" s="197">
        <v>0</v>
      </c>
      <c r="AS21" s="197">
        <v>0</v>
      </c>
      <c r="AT21" s="197">
        <v>0</v>
      </c>
      <c r="AU21" s="197">
        <v>100</v>
      </c>
      <c r="AV21" s="197">
        <v>16</v>
      </c>
      <c r="AW21" s="197">
        <v>20</v>
      </c>
      <c r="AX21" s="197">
        <v>0</v>
      </c>
      <c r="AY21" s="197">
        <v>15</v>
      </c>
      <c r="AZ21" s="197">
        <v>91.3</v>
      </c>
      <c r="BA21" s="197">
        <v>75</v>
      </c>
      <c r="BB21" s="197">
        <v>0</v>
      </c>
      <c r="BC21" s="197">
        <v>100</v>
      </c>
      <c r="BD21" s="197">
        <v>4</v>
      </c>
      <c r="BE21" s="197">
        <v>5</v>
      </c>
      <c r="BF21" s="197">
        <v>1</v>
      </c>
      <c r="BG21" s="197">
        <v>1</v>
      </c>
      <c r="BH21" s="197">
        <v>24.35</v>
      </c>
      <c r="BI21" s="197">
        <v>20</v>
      </c>
      <c r="BJ21" s="197">
        <v>0</v>
      </c>
      <c r="BK21" s="197">
        <v>100</v>
      </c>
      <c r="BL21" s="197">
        <v>0</v>
      </c>
      <c r="BM21" s="197">
        <v>0</v>
      </c>
      <c r="BN21" s="197">
        <v>0</v>
      </c>
      <c r="BO21" s="197">
        <v>0</v>
      </c>
      <c r="BP21" s="197">
        <v>100</v>
      </c>
      <c r="BQ21" s="197">
        <v>100</v>
      </c>
      <c r="BR21" s="197">
        <v>0</v>
      </c>
      <c r="BS21" s="197">
        <v>100</v>
      </c>
      <c r="BT21" s="197">
        <v>1</v>
      </c>
      <c r="BU21" s="197">
        <v>1</v>
      </c>
      <c r="BV21" s="197">
        <v>0</v>
      </c>
      <c r="BW21" s="197">
        <v>0</v>
      </c>
      <c r="BX21" s="197">
        <v>0</v>
      </c>
      <c r="BY21" s="197">
        <v>0</v>
      </c>
      <c r="BZ21" s="197">
        <v>0</v>
      </c>
      <c r="CA21" s="197">
        <v>100</v>
      </c>
      <c r="CB21" s="197">
        <v>7</v>
      </c>
      <c r="CC21" s="197">
        <v>8</v>
      </c>
      <c r="CD21" s="197">
        <v>0</v>
      </c>
      <c r="CE21" s="197">
        <v>1</v>
      </c>
      <c r="CF21" s="197">
        <v>15.22</v>
      </c>
      <c r="CG21" s="197">
        <v>12.5</v>
      </c>
      <c r="CH21" s="197">
        <v>0</v>
      </c>
      <c r="CI21" s="197">
        <v>100</v>
      </c>
      <c r="CJ21" s="197">
        <v>3</v>
      </c>
      <c r="CK21" s="197">
        <v>4</v>
      </c>
      <c r="CL21" s="197">
        <v>0</v>
      </c>
      <c r="CM21" s="197">
        <v>3</v>
      </c>
      <c r="CN21" s="197">
        <v>91.3</v>
      </c>
      <c r="CO21" s="197">
        <v>75</v>
      </c>
      <c r="CP21" s="197">
        <v>0</v>
      </c>
      <c r="CQ21" s="197">
        <v>100</v>
      </c>
      <c r="CR21" s="197">
        <v>2</v>
      </c>
      <c r="CS21" s="197">
        <v>3</v>
      </c>
      <c r="CT21" s="197">
        <v>0</v>
      </c>
      <c r="CU21" s="197">
        <v>2</v>
      </c>
      <c r="CV21" s="197">
        <v>81.16</v>
      </c>
      <c r="CW21" s="197">
        <v>66.67</v>
      </c>
      <c r="CX21" s="197">
        <v>0</v>
      </c>
      <c r="CY21" s="197">
        <v>100</v>
      </c>
      <c r="CZ21" s="197">
        <v>1</v>
      </c>
      <c r="DA21" s="197">
        <v>1</v>
      </c>
      <c r="DB21" s="197">
        <v>0</v>
      </c>
      <c r="DC21" s="197">
        <v>2</v>
      </c>
      <c r="DD21" s="197">
        <v>243.48</v>
      </c>
      <c r="DE21" s="197">
        <v>200</v>
      </c>
      <c r="DF21" s="197">
        <v>1</v>
      </c>
      <c r="DG21" s="197">
        <v>100</v>
      </c>
    </row>
    <row r="22" spans="1:111" ht="14.65" thickBot="1" x14ac:dyDescent="0.5">
      <c r="A22" s="163" t="s">
        <v>275</v>
      </c>
      <c r="B22" s="164" t="s">
        <v>276</v>
      </c>
      <c r="C22" s="164" t="s">
        <v>277</v>
      </c>
      <c r="D22" s="164" t="s">
        <v>278</v>
      </c>
      <c r="E22" s="196" t="s">
        <v>117</v>
      </c>
      <c r="F22" s="196" t="s">
        <v>195</v>
      </c>
      <c r="G22" s="196" t="s">
        <v>128</v>
      </c>
      <c r="H22" s="197">
        <v>7</v>
      </c>
      <c r="I22" s="197">
        <v>8</v>
      </c>
      <c r="J22" s="197">
        <v>0</v>
      </c>
      <c r="K22" s="197">
        <v>8</v>
      </c>
      <c r="L22" s="197">
        <v>121.74</v>
      </c>
      <c r="M22" s="197">
        <v>100</v>
      </c>
      <c r="N22" s="197">
        <v>0</v>
      </c>
      <c r="O22" s="197">
        <v>100</v>
      </c>
      <c r="P22" s="197">
        <v>3</v>
      </c>
      <c r="Q22" s="197">
        <v>4</v>
      </c>
      <c r="R22" s="197">
        <v>0</v>
      </c>
      <c r="S22" s="197">
        <v>6</v>
      </c>
      <c r="T22" s="197">
        <v>182.61</v>
      </c>
      <c r="U22" s="197">
        <v>150</v>
      </c>
      <c r="V22" s="197">
        <v>0</v>
      </c>
      <c r="W22" s="197">
        <v>100</v>
      </c>
      <c r="X22" s="197">
        <v>2</v>
      </c>
      <c r="Y22" s="197">
        <v>3</v>
      </c>
      <c r="Z22" s="197">
        <v>0</v>
      </c>
      <c r="AA22" s="197">
        <v>0</v>
      </c>
      <c r="AB22" s="197">
        <v>0</v>
      </c>
      <c r="AC22" s="197">
        <v>0</v>
      </c>
      <c r="AD22" s="197">
        <v>5</v>
      </c>
      <c r="AE22" s="197">
        <v>-100</v>
      </c>
      <c r="AF22" s="197">
        <v>4</v>
      </c>
      <c r="AG22" s="197">
        <v>5</v>
      </c>
      <c r="AH22" s="197">
        <v>0</v>
      </c>
      <c r="AI22" s="197">
        <v>0</v>
      </c>
      <c r="AJ22" s="197">
        <v>200</v>
      </c>
      <c r="AK22" s="197">
        <v>200</v>
      </c>
      <c r="AL22" s="197">
        <v>0</v>
      </c>
      <c r="AM22" s="197">
        <v>100</v>
      </c>
      <c r="AN22" s="197">
        <v>3</v>
      </c>
      <c r="AO22" s="197">
        <v>4</v>
      </c>
      <c r="AP22" s="197">
        <v>0</v>
      </c>
      <c r="AQ22" s="197">
        <v>0</v>
      </c>
      <c r="AR22" s="197">
        <v>0</v>
      </c>
      <c r="AS22" s="197">
        <v>0</v>
      </c>
      <c r="AT22" s="197">
        <v>0</v>
      </c>
      <c r="AU22" s="197">
        <v>100</v>
      </c>
      <c r="AV22" s="197">
        <v>25</v>
      </c>
      <c r="AW22" s="197">
        <v>30</v>
      </c>
      <c r="AX22" s="197">
        <v>0</v>
      </c>
      <c r="AY22" s="197">
        <v>61</v>
      </c>
      <c r="AZ22" s="197">
        <v>247.54</v>
      </c>
      <c r="BA22" s="197">
        <v>203.33</v>
      </c>
      <c r="BB22" s="197">
        <v>0</v>
      </c>
      <c r="BC22" s="197">
        <v>100</v>
      </c>
      <c r="BD22" s="197">
        <v>4</v>
      </c>
      <c r="BE22" s="197">
        <v>5</v>
      </c>
      <c r="BF22" s="197">
        <v>0</v>
      </c>
      <c r="BG22" s="197">
        <v>3</v>
      </c>
      <c r="BH22" s="197">
        <v>73.040000000000006</v>
      </c>
      <c r="BI22" s="197">
        <v>60</v>
      </c>
      <c r="BJ22" s="197">
        <v>0</v>
      </c>
      <c r="BK22" s="197">
        <v>100</v>
      </c>
      <c r="BL22" s="197">
        <v>0</v>
      </c>
      <c r="BM22" s="197">
        <v>0</v>
      </c>
      <c r="BN22" s="197">
        <v>0</v>
      </c>
      <c r="BO22" s="197">
        <v>2</v>
      </c>
      <c r="BP22" s="197">
        <v>100</v>
      </c>
      <c r="BQ22" s="197">
        <v>100</v>
      </c>
      <c r="BR22" s="197">
        <v>0</v>
      </c>
      <c r="BS22" s="197">
        <v>100</v>
      </c>
      <c r="BT22" s="197">
        <v>1</v>
      </c>
      <c r="BU22" s="197">
        <v>1</v>
      </c>
      <c r="BV22" s="197">
        <v>0</v>
      </c>
      <c r="BW22" s="197">
        <v>2</v>
      </c>
      <c r="BX22" s="197">
        <v>243.48</v>
      </c>
      <c r="BY22" s="197">
        <v>200</v>
      </c>
      <c r="BZ22" s="197">
        <v>0</v>
      </c>
      <c r="CA22" s="197">
        <v>100</v>
      </c>
      <c r="CB22" s="197">
        <v>7</v>
      </c>
      <c r="CC22" s="197">
        <v>9</v>
      </c>
      <c r="CD22" s="197">
        <v>0</v>
      </c>
      <c r="CE22" s="197">
        <v>11</v>
      </c>
      <c r="CF22" s="197">
        <v>148.79</v>
      </c>
      <c r="CG22" s="197">
        <v>122.22</v>
      </c>
      <c r="CH22" s="197">
        <v>0</v>
      </c>
      <c r="CI22" s="197">
        <v>100</v>
      </c>
      <c r="CJ22" s="197">
        <v>4</v>
      </c>
      <c r="CK22" s="197">
        <v>5</v>
      </c>
      <c r="CL22" s="197">
        <v>0</v>
      </c>
      <c r="CM22" s="197">
        <v>3</v>
      </c>
      <c r="CN22" s="197">
        <v>73.040000000000006</v>
      </c>
      <c r="CO22" s="197">
        <v>60</v>
      </c>
      <c r="CP22" s="197">
        <v>0</v>
      </c>
      <c r="CQ22" s="197">
        <v>100</v>
      </c>
      <c r="CR22" s="197">
        <v>3</v>
      </c>
      <c r="CS22" s="197">
        <v>4</v>
      </c>
      <c r="CT22" s="197">
        <v>0</v>
      </c>
      <c r="CU22" s="197">
        <v>4</v>
      </c>
      <c r="CV22" s="197">
        <v>121.74</v>
      </c>
      <c r="CW22" s="197">
        <v>100</v>
      </c>
      <c r="CX22" s="197">
        <v>0</v>
      </c>
      <c r="CY22" s="197">
        <v>100</v>
      </c>
      <c r="CZ22" s="197">
        <v>1</v>
      </c>
      <c r="DA22" s="197">
        <v>1</v>
      </c>
      <c r="DB22" s="197">
        <v>0</v>
      </c>
      <c r="DC22" s="197">
        <v>2</v>
      </c>
      <c r="DD22" s="197">
        <v>243.48</v>
      </c>
      <c r="DE22" s="197">
        <v>200</v>
      </c>
      <c r="DF22" s="197">
        <v>0</v>
      </c>
      <c r="DG22" s="197">
        <v>100</v>
      </c>
    </row>
    <row r="23" spans="1:111" ht="14.65" thickBot="1" x14ac:dyDescent="0.5">
      <c r="A23" s="163" t="s">
        <v>275</v>
      </c>
      <c r="B23" s="164" t="s">
        <v>276</v>
      </c>
      <c r="C23" s="164" t="s">
        <v>277</v>
      </c>
      <c r="D23" s="164" t="s">
        <v>278</v>
      </c>
      <c r="E23" s="196" t="s">
        <v>119</v>
      </c>
      <c r="F23" s="196" t="s">
        <v>196</v>
      </c>
      <c r="G23" s="196" t="s">
        <v>129</v>
      </c>
      <c r="H23" s="197">
        <v>6</v>
      </c>
      <c r="I23" s="197">
        <v>7</v>
      </c>
      <c r="J23" s="197">
        <v>0</v>
      </c>
      <c r="K23" s="197">
        <v>11</v>
      </c>
      <c r="L23" s="197">
        <v>191.3</v>
      </c>
      <c r="M23" s="197">
        <v>157.13999999999999</v>
      </c>
      <c r="N23" s="197">
        <v>0</v>
      </c>
      <c r="O23" s="197">
        <v>100</v>
      </c>
      <c r="P23" s="197">
        <v>3</v>
      </c>
      <c r="Q23" s="197">
        <v>4</v>
      </c>
      <c r="R23" s="197">
        <v>0</v>
      </c>
      <c r="S23" s="197">
        <v>5</v>
      </c>
      <c r="T23" s="197">
        <v>152.16999999999999</v>
      </c>
      <c r="U23" s="197">
        <v>125</v>
      </c>
      <c r="V23" s="197">
        <v>0</v>
      </c>
      <c r="W23" s="197">
        <v>100</v>
      </c>
      <c r="X23" s="197">
        <v>2</v>
      </c>
      <c r="Y23" s="197">
        <v>3</v>
      </c>
      <c r="Z23" s="197">
        <v>0</v>
      </c>
      <c r="AA23" s="197">
        <v>0</v>
      </c>
      <c r="AB23" s="197">
        <v>0</v>
      </c>
      <c r="AC23" s="197">
        <v>0</v>
      </c>
      <c r="AD23" s="197">
        <v>1</v>
      </c>
      <c r="AE23" s="197">
        <v>-100</v>
      </c>
      <c r="AF23" s="197">
        <v>4</v>
      </c>
      <c r="AG23" s="197">
        <v>5</v>
      </c>
      <c r="AH23" s="197">
        <v>0</v>
      </c>
      <c r="AI23" s="197">
        <v>0</v>
      </c>
      <c r="AJ23" s="197">
        <v>200</v>
      </c>
      <c r="AK23" s="197">
        <v>200</v>
      </c>
      <c r="AL23" s="197">
        <v>2</v>
      </c>
      <c r="AM23" s="197">
        <v>-100</v>
      </c>
      <c r="AN23" s="197">
        <v>3</v>
      </c>
      <c r="AO23" s="197">
        <v>4</v>
      </c>
      <c r="AP23" s="197">
        <v>0</v>
      </c>
      <c r="AQ23" s="197">
        <v>0</v>
      </c>
      <c r="AR23" s="197">
        <v>0</v>
      </c>
      <c r="AS23" s="197">
        <v>0</v>
      </c>
      <c r="AT23" s="197">
        <v>0</v>
      </c>
      <c r="AU23" s="197">
        <v>100</v>
      </c>
      <c r="AV23" s="197">
        <v>49</v>
      </c>
      <c r="AW23" s="197">
        <v>60</v>
      </c>
      <c r="AX23" s="197">
        <v>0</v>
      </c>
      <c r="AY23" s="197">
        <v>171</v>
      </c>
      <c r="AZ23" s="197">
        <v>346.96</v>
      </c>
      <c r="BA23" s="197">
        <v>285</v>
      </c>
      <c r="BB23" s="197">
        <v>0</v>
      </c>
      <c r="BC23" s="197">
        <v>100</v>
      </c>
      <c r="BD23" s="197">
        <v>4</v>
      </c>
      <c r="BE23" s="197">
        <v>5</v>
      </c>
      <c r="BF23" s="197">
        <v>1</v>
      </c>
      <c r="BG23" s="197">
        <v>4</v>
      </c>
      <c r="BH23" s="197">
        <v>97.39</v>
      </c>
      <c r="BI23" s="197">
        <v>80</v>
      </c>
      <c r="BJ23" s="197">
        <v>0</v>
      </c>
      <c r="BK23" s="197">
        <v>100</v>
      </c>
      <c r="BL23" s="197">
        <v>0</v>
      </c>
      <c r="BM23" s="197">
        <v>0</v>
      </c>
      <c r="BN23" s="197">
        <v>0</v>
      </c>
      <c r="BO23" s="197">
        <v>2</v>
      </c>
      <c r="BP23" s="197">
        <v>100</v>
      </c>
      <c r="BQ23" s="197">
        <v>100</v>
      </c>
      <c r="BR23" s="197">
        <v>0</v>
      </c>
      <c r="BS23" s="197">
        <v>100</v>
      </c>
      <c r="BT23" s="197">
        <v>1</v>
      </c>
      <c r="BU23" s="197">
        <v>1</v>
      </c>
      <c r="BV23" s="197">
        <v>0</v>
      </c>
      <c r="BW23" s="197">
        <v>1</v>
      </c>
      <c r="BX23" s="197">
        <v>121.74</v>
      </c>
      <c r="BY23" s="197">
        <v>100</v>
      </c>
      <c r="BZ23" s="197">
        <v>0</v>
      </c>
      <c r="CA23" s="197">
        <v>100</v>
      </c>
      <c r="CB23" s="197">
        <v>7</v>
      </c>
      <c r="CC23" s="197">
        <v>8</v>
      </c>
      <c r="CD23" s="197">
        <v>0</v>
      </c>
      <c r="CE23" s="197">
        <v>21</v>
      </c>
      <c r="CF23" s="197">
        <v>319.57</v>
      </c>
      <c r="CG23" s="197">
        <v>262.5</v>
      </c>
      <c r="CH23" s="197">
        <v>0</v>
      </c>
      <c r="CI23" s="197">
        <v>100</v>
      </c>
      <c r="CJ23" s="197">
        <v>3</v>
      </c>
      <c r="CK23" s="197">
        <v>4</v>
      </c>
      <c r="CL23" s="197">
        <v>0</v>
      </c>
      <c r="CM23" s="197">
        <v>5</v>
      </c>
      <c r="CN23" s="197">
        <v>152.16999999999999</v>
      </c>
      <c r="CO23" s="197">
        <v>125</v>
      </c>
      <c r="CP23" s="197">
        <v>0</v>
      </c>
      <c r="CQ23" s="197">
        <v>100</v>
      </c>
      <c r="CR23" s="197">
        <v>3</v>
      </c>
      <c r="CS23" s="197">
        <v>4</v>
      </c>
      <c r="CT23" s="197">
        <v>0</v>
      </c>
      <c r="CU23" s="197">
        <v>8</v>
      </c>
      <c r="CV23" s="197">
        <v>243.48</v>
      </c>
      <c r="CW23" s="197">
        <v>200</v>
      </c>
      <c r="CX23" s="197">
        <v>0</v>
      </c>
      <c r="CY23" s="197">
        <v>100</v>
      </c>
      <c r="CZ23" s="197">
        <v>1</v>
      </c>
      <c r="DA23" s="197">
        <v>1</v>
      </c>
      <c r="DB23" s="197">
        <v>0</v>
      </c>
      <c r="DC23" s="197">
        <v>21</v>
      </c>
      <c r="DD23" s="197">
        <v>2556.52</v>
      </c>
      <c r="DE23" s="197">
        <v>2100</v>
      </c>
      <c r="DF23" s="197">
        <v>2</v>
      </c>
      <c r="DG23" s="197">
        <v>950</v>
      </c>
    </row>
    <row r="24" spans="1:111" ht="14.65" thickBot="1" x14ac:dyDescent="0.5">
      <c r="A24" s="163" t="s">
        <v>275</v>
      </c>
      <c r="B24" s="164" t="s">
        <v>276</v>
      </c>
      <c r="C24" s="164" t="s">
        <v>277</v>
      </c>
      <c r="D24" s="164" t="s">
        <v>278</v>
      </c>
      <c r="E24" s="196" t="s">
        <v>121</v>
      </c>
      <c r="F24" s="196" t="s">
        <v>197</v>
      </c>
      <c r="G24" s="196" t="s">
        <v>179</v>
      </c>
      <c r="H24" s="197">
        <v>2</v>
      </c>
      <c r="I24" s="197">
        <v>3</v>
      </c>
      <c r="J24" s="197">
        <v>0</v>
      </c>
      <c r="K24" s="197">
        <v>4</v>
      </c>
      <c r="L24" s="197">
        <v>162.32</v>
      </c>
      <c r="M24" s="197">
        <v>133.33000000000001</v>
      </c>
      <c r="N24" s="197">
        <v>0</v>
      </c>
      <c r="O24" s="197">
        <v>100</v>
      </c>
      <c r="P24" s="197">
        <v>2</v>
      </c>
      <c r="Q24" s="197">
        <v>2</v>
      </c>
      <c r="R24" s="197">
        <v>0</v>
      </c>
      <c r="S24" s="197">
        <v>0</v>
      </c>
      <c r="T24" s="197">
        <v>0</v>
      </c>
      <c r="U24" s="197">
        <v>0</v>
      </c>
      <c r="V24" s="197">
        <v>0</v>
      </c>
      <c r="W24" s="197">
        <v>100</v>
      </c>
      <c r="X24" s="197">
        <v>1</v>
      </c>
      <c r="Y24" s="197">
        <v>1</v>
      </c>
      <c r="Z24" s="197">
        <v>0</v>
      </c>
      <c r="AA24" s="197">
        <v>0</v>
      </c>
      <c r="AB24" s="197">
        <v>0</v>
      </c>
      <c r="AC24" s="197">
        <v>0</v>
      </c>
      <c r="AD24" s="197">
        <v>0</v>
      </c>
      <c r="AE24" s="197">
        <v>100</v>
      </c>
      <c r="AF24" s="197">
        <v>2</v>
      </c>
      <c r="AG24" s="197">
        <v>3</v>
      </c>
      <c r="AH24" s="197">
        <v>0</v>
      </c>
      <c r="AI24" s="197">
        <v>0</v>
      </c>
      <c r="AJ24" s="197">
        <v>200</v>
      </c>
      <c r="AK24" s="197">
        <v>200</v>
      </c>
      <c r="AL24" s="197">
        <v>4</v>
      </c>
      <c r="AM24" s="197">
        <v>-100</v>
      </c>
      <c r="AN24" s="197">
        <v>2</v>
      </c>
      <c r="AO24" s="197">
        <v>3</v>
      </c>
      <c r="AP24" s="197">
        <v>0</v>
      </c>
      <c r="AQ24" s="197">
        <v>0</v>
      </c>
      <c r="AR24" s="197">
        <v>0</v>
      </c>
      <c r="AS24" s="197">
        <v>0</v>
      </c>
      <c r="AT24" s="197">
        <v>0</v>
      </c>
      <c r="AU24" s="197">
        <v>100</v>
      </c>
      <c r="AV24" s="197">
        <v>12</v>
      </c>
      <c r="AW24" s="197">
        <v>14</v>
      </c>
      <c r="AX24" s="197">
        <v>0</v>
      </c>
      <c r="AY24" s="197">
        <v>3</v>
      </c>
      <c r="AZ24" s="197">
        <v>26.09</v>
      </c>
      <c r="BA24" s="197">
        <v>21.43</v>
      </c>
      <c r="BB24" s="197">
        <v>0</v>
      </c>
      <c r="BC24" s="197">
        <v>100</v>
      </c>
      <c r="BD24" s="197">
        <v>2</v>
      </c>
      <c r="BE24" s="197">
        <v>2</v>
      </c>
      <c r="BF24" s="197">
        <v>1</v>
      </c>
      <c r="BG24" s="197">
        <v>2</v>
      </c>
      <c r="BH24" s="197">
        <v>121.74</v>
      </c>
      <c r="BI24" s="197">
        <v>100</v>
      </c>
      <c r="BJ24" s="197">
        <v>0</v>
      </c>
      <c r="BK24" s="197">
        <v>100</v>
      </c>
      <c r="BL24" s="197">
        <v>0</v>
      </c>
      <c r="BM24" s="197">
        <v>0</v>
      </c>
      <c r="BN24" s="197">
        <v>0</v>
      </c>
      <c r="BO24" s="197">
        <v>0</v>
      </c>
      <c r="BP24" s="197">
        <v>100</v>
      </c>
      <c r="BQ24" s="197">
        <v>100</v>
      </c>
      <c r="BR24" s="197">
        <v>0</v>
      </c>
      <c r="BS24" s="197">
        <v>100</v>
      </c>
      <c r="BT24" s="197">
        <v>1</v>
      </c>
      <c r="BU24" s="197">
        <v>1</v>
      </c>
      <c r="BV24" s="197">
        <v>0</v>
      </c>
      <c r="BW24" s="197">
        <v>0</v>
      </c>
      <c r="BX24" s="197">
        <v>0</v>
      </c>
      <c r="BY24" s="197">
        <v>0</v>
      </c>
      <c r="BZ24" s="197">
        <v>0</v>
      </c>
      <c r="CA24" s="197">
        <v>100</v>
      </c>
      <c r="CB24" s="197">
        <v>4</v>
      </c>
      <c r="CC24" s="197">
        <v>5</v>
      </c>
      <c r="CD24" s="197">
        <v>0</v>
      </c>
      <c r="CE24" s="197">
        <v>0</v>
      </c>
      <c r="CF24" s="197">
        <v>0</v>
      </c>
      <c r="CG24" s="197">
        <v>0</v>
      </c>
      <c r="CH24" s="197">
        <v>0</v>
      </c>
      <c r="CI24" s="197">
        <v>100</v>
      </c>
      <c r="CJ24" s="197">
        <v>2</v>
      </c>
      <c r="CK24" s="197">
        <v>3</v>
      </c>
      <c r="CL24" s="197">
        <v>0</v>
      </c>
      <c r="CM24" s="197">
        <v>0</v>
      </c>
      <c r="CN24" s="197">
        <v>0</v>
      </c>
      <c r="CO24" s="197">
        <v>0</v>
      </c>
      <c r="CP24" s="197">
        <v>0</v>
      </c>
      <c r="CQ24" s="197">
        <v>100</v>
      </c>
      <c r="CR24" s="197">
        <v>2</v>
      </c>
      <c r="CS24" s="197">
        <v>3</v>
      </c>
      <c r="CT24" s="197">
        <v>0</v>
      </c>
      <c r="CU24" s="197">
        <v>2</v>
      </c>
      <c r="CV24" s="197">
        <v>81.16</v>
      </c>
      <c r="CW24" s="197">
        <v>66.67</v>
      </c>
      <c r="CX24" s="197">
        <v>0</v>
      </c>
      <c r="CY24" s="197">
        <v>100</v>
      </c>
      <c r="CZ24" s="197">
        <v>1</v>
      </c>
      <c r="DA24" s="197">
        <v>1</v>
      </c>
      <c r="DB24" s="197">
        <v>0</v>
      </c>
      <c r="DC24" s="197">
        <v>0</v>
      </c>
      <c r="DD24" s="197">
        <v>0</v>
      </c>
      <c r="DE24" s="197">
        <v>0</v>
      </c>
      <c r="DF24" s="197">
        <v>0</v>
      </c>
      <c r="DG24" s="197">
        <v>100</v>
      </c>
    </row>
    <row r="25" spans="1:111" ht="14.65" thickBot="1" x14ac:dyDescent="0.5">
      <c r="A25" s="163" t="s">
        <v>275</v>
      </c>
      <c r="B25" s="164" t="s">
        <v>276</v>
      </c>
      <c r="C25" s="164" t="s">
        <v>277</v>
      </c>
      <c r="D25" s="164" t="s">
        <v>279</v>
      </c>
      <c r="E25" s="196" t="s">
        <v>276</v>
      </c>
      <c r="F25" s="196" t="s">
        <v>277</v>
      </c>
      <c r="G25" s="196" t="s">
        <v>128</v>
      </c>
      <c r="H25" s="198"/>
      <c r="I25" s="198"/>
      <c r="J25" s="198"/>
      <c r="K25" s="198"/>
      <c r="L25" s="198"/>
      <c r="M25" s="198"/>
      <c r="N25" s="198"/>
      <c r="O25" s="198"/>
      <c r="P25" s="198"/>
      <c r="Q25" s="198"/>
      <c r="R25" s="198"/>
      <c r="S25" s="198"/>
      <c r="T25" s="198"/>
      <c r="U25" s="198"/>
      <c r="V25" s="198"/>
      <c r="W25" s="198"/>
      <c r="X25" s="198"/>
      <c r="Y25" s="198"/>
      <c r="Z25" s="198"/>
      <c r="AA25" s="198"/>
      <c r="AB25" s="198"/>
      <c r="AC25" s="198"/>
      <c r="AD25" s="198"/>
      <c r="AE25" s="198"/>
      <c r="AF25" s="198"/>
      <c r="AG25" s="198"/>
      <c r="AH25" s="198"/>
      <c r="AI25" s="198"/>
      <c r="AJ25" s="198"/>
      <c r="AK25" s="198"/>
      <c r="AL25" s="198"/>
      <c r="AM25" s="198"/>
      <c r="AN25" s="198"/>
      <c r="AO25" s="198"/>
      <c r="AP25" s="198"/>
      <c r="AQ25" s="198"/>
      <c r="AR25" s="198"/>
      <c r="AS25" s="198"/>
      <c r="AT25" s="198"/>
      <c r="AU25" s="198"/>
      <c r="AV25" s="197">
        <v>1117</v>
      </c>
      <c r="AW25" s="197">
        <v>1360</v>
      </c>
      <c r="AX25" s="197">
        <v>0</v>
      </c>
      <c r="AY25" s="197">
        <v>0</v>
      </c>
      <c r="AZ25" s="197">
        <v>0</v>
      </c>
      <c r="BA25" s="197">
        <v>0</v>
      </c>
      <c r="BB25" s="197">
        <v>0</v>
      </c>
      <c r="BC25" s="197">
        <v>100</v>
      </c>
      <c r="BD25" s="198"/>
      <c r="BE25" s="198"/>
      <c r="BF25" s="198"/>
      <c r="BG25" s="198"/>
      <c r="BH25" s="198"/>
      <c r="BI25" s="198"/>
      <c r="BJ25" s="198"/>
      <c r="BK25" s="198"/>
      <c r="BL25" s="198"/>
      <c r="BM25" s="198"/>
      <c r="BN25" s="198"/>
      <c r="BO25" s="198"/>
      <c r="BP25" s="198"/>
      <c r="BQ25" s="198"/>
      <c r="BR25" s="198"/>
      <c r="BS25" s="198"/>
      <c r="BT25" s="197">
        <v>5</v>
      </c>
      <c r="BU25" s="197">
        <v>6</v>
      </c>
      <c r="BV25" s="197">
        <v>0</v>
      </c>
      <c r="BW25" s="197">
        <v>0</v>
      </c>
      <c r="BX25" s="197">
        <v>0</v>
      </c>
      <c r="BY25" s="197">
        <v>0</v>
      </c>
      <c r="BZ25" s="197">
        <v>0</v>
      </c>
      <c r="CA25" s="197">
        <v>100</v>
      </c>
      <c r="CB25" s="197">
        <v>99</v>
      </c>
      <c r="CC25" s="197">
        <v>120</v>
      </c>
      <c r="CD25" s="197">
        <v>0</v>
      </c>
      <c r="CE25" s="197">
        <v>0</v>
      </c>
      <c r="CF25" s="197">
        <v>0</v>
      </c>
      <c r="CG25" s="197">
        <v>0</v>
      </c>
      <c r="CH25" s="197">
        <v>0</v>
      </c>
      <c r="CI25" s="197">
        <v>100</v>
      </c>
      <c r="CJ25" s="198"/>
      <c r="CK25" s="198"/>
      <c r="CL25" s="198"/>
      <c r="CM25" s="198"/>
      <c r="CN25" s="198"/>
      <c r="CO25" s="198"/>
      <c r="CP25" s="198"/>
      <c r="CQ25" s="198"/>
      <c r="CR25" s="198"/>
      <c r="CS25" s="198"/>
      <c r="CT25" s="198"/>
      <c r="CU25" s="198"/>
      <c r="CV25" s="198"/>
      <c r="CW25" s="198"/>
      <c r="CX25" s="198"/>
      <c r="CY25" s="198"/>
      <c r="CZ25" s="197">
        <v>211</v>
      </c>
      <c r="DA25" s="197">
        <v>257</v>
      </c>
      <c r="DB25" s="197">
        <v>0</v>
      </c>
      <c r="DC25" s="197">
        <v>0</v>
      </c>
      <c r="DD25" s="197">
        <v>0</v>
      </c>
      <c r="DE25" s="197">
        <v>0</v>
      </c>
      <c r="DF25" s="197">
        <v>0</v>
      </c>
      <c r="DG25" s="197">
        <v>100</v>
      </c>
    </row>
    <row r="26" spans="1:111" ht="14.65" thickBot="1" x14ac:dyDescent="0.5">
      <c r="A26" s="163" t="s">
        <v>275</v>
      </c>
      <c r="B26" s="164" t="s">
        <v>276</v>
      </c>
      <c r="C26" s="164" t="s">
        <v>277</v>
      </c>
      <c r="D26" s="164" t="s">
        <v>279</v>
      </c>
      <c r="E26" s="196" t="s">
        <v>280</v>
      </c>
      <c r="F26" s="196" t="s">
        <v>281</v>
      </c>
      <c r="G26" s="196" t="s">
        <v>129</v>
      </c>
      <c r="H26" s="198"/>
      <c r="I26" s="198"/>
      <c r="J26" s="198"/>
      <c r="K26" s="198"/>
      <c r="L26" s="198"/>
      <c r="M26" s="198"/>
      <c r="N26" s="198"/>
      <c r="O26" s="198"/>
      <c r="P26" s="198"/>
      <c r="Q26" s="198"/>
      <c r="R26" s="198"/>
      <c r="S26" s="198"/>
      <c r="T26" s="198"/>
      <c r="U26" s="198"/>
      <c r="V26" s="198"/>
      <c r="W26" s="198"/>
      <c r="X26" s="197">
        <v>0</v>
      </c>
      <c r="Y26" s="197">
        <v>0</v>
      </c>
      <c r="Z26" s="197">
        <v>0</v>
      </c>
      <c r="AA26" s="197">
        <v>1</v>
      </c>
      <c r="AB26" s="197">
        <v>100</v>
      </c>
      <c r="AC26" s="197">
        <v>100</v>
      </c>
      <c r="AD26" s="197">
        <v>2</v>
      </c>
      <c r="AE26" s="197">
        <v>-50</v>
      </c>
      <c r="AF26" s="198"/>
      <c r="AG26" s="198"/>
      <c r="AH26" s="198"/>
      <c r="AI26" s="198"/>
      <c r="AJ26" s="198"/>
      <c r="AK26" s="198"/>
      <c r="AL26" s="198"/>
      <c r="AM26" s="198"/>
      <c r="AN26" s="198"/>
      <c r="AO26" s="198"/>
      <c r="AP26" s="198"/>
      <c r="AQ26" s="198"/>
      <c r="AR26" s="198"/>
      <c r="AS26" s="198"/>
      <c r="AT26" s="198"/>
      <c r="AU26" s="198"/>
      <c r="AV26" s="198"/>
      <c r="AW26" s="198"/>
      <c r="AX26" s="198"/>
      <c r="AY26" s="198"/>
      <c r="AZ26" s="198"/>
      <c r="BA26" s="198"/>
      <c r="BB26" s="198"/>
      <c r="BC26" s="198"/>
      <c r="BD26" s="198"/>
      <c r="BE26" s="198"/>
      <c r="BF26" s="198"/>
      <c r="BG26" s="198"/>
      <c r="BH26" s="198"/>
      <c r="BI26" s="198"/>
      <c r="BJ26" s="198"/>
      <c r="BK26" s="198"/>
      <c r="BL26" s="198"/>
      <c r="BM26" s="198"/>
      <c r="BN26" s="198"/>
      <c r="BO26" s="198"/>
      <c r="BP26" s="198"/>
      <c r="BQ26" s="198"/>
      <c r="BR26" s="198"/>
      <c r="BS26" s="198"/>
      <c r="BT26" s="198"/>
      <c r="BU26" s="198"/>
      <c r="BV26" s="198"/>
      <c r="BW26" s="198"/>
      <c r="BX26" s="198"/>
      <c r="BY26" s="198"/>
      <c r="BZ26" s="198"/>
      <c r="CA26" s="198"/>
      <c r="CB26" s="198"/>
      <c r="CC26" s="198"/>
      <c r="CD26" s="198"/>
      <c r="CE26" s="198"/>
      <c r="CF26" s="198"/>
      <c r="CG26" s="198"/>
      <c r="CH26" s="198"/>
      <c r="CI26" s="198"/>
      <c r="CJ26" s="198"/>
      <c r="CK26" s="198"/>
      <c r="CL26" s="198"/>
      <c r="CM26" s="198"/>
      <c r="CN26" s="198"/>
      <c r="CO26" s="198"/>
      <c r="CP26" s="198"/>
      <c r="CQ26" s="198"/>
      <c r="CR26" s="198"/>
      <c r="CS26" s="198"/>
      <c r="CT26" s="198"/>
      <c r="CU26" s="198"/>
      <c r="CV26" s="198"/>
      <c r="CW26" s="198"/>
      <c r="CX26" s="198"/>
      <c r="CY26" s="198"/>
      <c r="CZ26" s="198"/>
      <c r="DA26" s="198"/>
      <c r="DB26" s="198"/>
      <c r="DC26" s="198"/>
      <c r="DD26" s="198"/>
      <c r="DE26" s="198"/>
      <c r="DF26" s="198"/>
      <c r="DG26" s="198"/>
    </row>
    <row r="27" spans="1:111" ht="14.65" thickBot="1" x14ac:dyDescent="0.5">
      <c r="A27" s="163" t="s">
        <v>275</v>
      </c>
      <c r="B27" s="164" t="s">
        <v>276</v>
      </c>
      <c r="C27" s="164" t="s">
        <v>277</v>
      </c>
      <c r="D27" s="164" t="s">
        <v>279</v>
      </c>
      <c r="E27" s="196" t="s">
        <v>123</v>
      </c>
      <c r="F27" s="196" t="s">
        <v>198</v>
      </c>
      <c r="G27" s="196" t="s">
        <v>179</v>
      </c>
      <c r="H27" s="197">
        <v>3</v>
      </c>
      <c r="I27" s="197">
        <v>4</v>
      </c>
      <c r="J27" s="197">
        <v>0</v>
      </c>
      <c r="K27" s="197">
        <v>3</v>
      </c>
      <c r="L27" s="197">
        <v>91.3</v>
      </c>
      <c r="M27" s="197">
        <v>75</v>
      </c>
      <c r="N27" s="197">
        <v>2</v>
      </c>
      <c r="O27" s="197">
        <v>50</v>
      </c>
      <c r="P27" s="197">
        <v>2</v>
      </c>
      <c r="Q27" s="197">
        <v>2</v>
      </c>
      <c r="R27" s="197">
        <v>0</v>
      </c>
      <c r="S27" s="197">
        <v>4</v>
      </c>
      <c r="T27" s="197">
        <v>243.48</v>
      </c>
      <c r="U27" s="197">
        <v>200</v>
      </c>
      <c r="V27" s="197">
        <v>0</v>
      </c>
      <c r="W27" s="197">
        <v>100</v>
      </c>
      <c r="X27" s="197">
        <v>1</v>
      </c>
      <c r="Y27" s="197">
        <v>1</v>
      </c>
      <c r="Z27" s="197">
        <v>0</v>
      </c>
      <c r="AA27" s="197">
        <v>0</v>
      </c>
      <c r="AB27" s="197">
        <v>0</v>
      </c>
      <c r="AC27" s="197">
        <v>0</v>
      </c>
      <c r="AD27" s="197">
        <v>0</v>
      </c>
      <c r="AE27" s="197">
        <v>100</v>
      </c>
      <c r="AF27" s="197">
        <v>2</v>
      </c>
      <c r="AG27" s="197">
        <v>2</v>
      </c>
      <c r="AH27" s="197">
        <v>0</v>
      </c>
      <c r="AI27" s="197">
        <v>1</v>
      </c>
      <c r="AJ27" s="197">
        <v>139.13</v>
      </c>
      <c r="AK27" s="197">
        <v>150</v>
      </c>
      <c r="AL27" s="197">
        <v>0</v>
      </c>
      <c r="AM27" s="197">
        <v>100</v>
      </c>
      <c r="AN27" s="197">
        <v>2</v>
      </c>
      <c r="AO27" s="197">
        <v>3</v>
      </c>
      <c r="AP27" s="197">
        <v>0</v>
      </c>
      <c r="AQ27" s="197">
        <v>0</v>
      </c>
      <c r="AR27" s="197">
        <v>0</v>
      </c>
      <c r="AS27" s="197">
        <v>0</v>
      </c>
      <c r="AT27" s="197">
        <v>0</v>
      </c>
      <c r="AU27" s="197">
        <v>100</v>
      </c>
      <c r="AV27" s="197">
        <v>17</v>
      </c>
      <c r="AW27" s="197">
        <v>21</v>
      </c>
      <c r="AX27" s="197">
        <v>0</v>
      </c>
      <c r="AY27" s="197">
        <v>30</v>
      </c>
      <c r="AZ27" s="197">
        <v>173.91</v>
      </c>
      <c r="BA27" s="197">
        <v>142.86000000000001</v>
      </c>
      <c r="BB27" s="197">
        <v>0</v>
      </c>
      <c r="BC27" s="197">
        <v>100</v>
      </c>
      <c r="BD27" s="197">
        <v>2</v>
      </c>
      <c r="BE27" s="197">
        <v>3</v>
      </c>
      <c r="BF27" s="197">
        <v>1</v>
      </c>
      <c r="BG27" s="197">
        <v>1</v>
      </c>
      <c r="BH27" s="197">
        <v>40.58</v>
      </c>
      <c r="BI27" s="197">
        <v>33.33</v>
      </c>
      <c r="BJ27" s="197">
        <v>1</v>
      </c>
      <c r="BK27" s="197">
        <v>0</v>
      </c>
      <c r="BL27" s="197">
        <v>0</v>
      </c>
      <c r="BM27" s="197">
        <v>0</v>
      </c>
      <c r="BN27" s="197">
        <v>0</v>
      </c>
      <c r="BO27" s="197">
        <v>2</v>
      </c>
      <c r="BP27" s="197">
        <v>100</v>
      </c>
      <c r="BQ27" s="197">
        <v>100</v>
      </c>
      <c r="BR27" s="197">
        <v>0</v>
      </c>
      <c r="BS27" s="197">
        <v>100</v>
      </c>
      <c r="BT27" s="197">
        <v>1</v>
      </c>
      <c r="BU27" s="197">
        <v>1</v>
      </c>
      <c r="BV27" s="197">
        <v>0</v>
      </c>
      <c r="BW27" s="197">
        <v>1</v>
      </c>
      <c r="BX27" s="197">
        <v>121.74</v>
      </c>
      <c r="BY27" s="197">
        <v>100</v>
      </c>
      <c r="BZ27" s="197">
        <v>0</v>
      </c>
      <c r="CA27" s="197">
        <v>100</v>
      </c>
      <c r="CB27" s="197">
        <v>5</v>
      </c>
      <c r="CC27" s="197">
        <v>6</v>
      </c>
      <c r="CD27" s="197">
        <v>0</v>
      </c>
      <c r="CE27" s="197">
        <v>6</v>
      </c>
      <c r="CF27" s="197">
        <v>121.74</v>
      </c>
      <c r="CG27" s="197">
        <v>100</v>
      </c>
      <c r="CH27" s="197">
        <v>0</v>
      </c>
      <c r="CI27" s="197">
        <v>100</v>
      </c>
      <c r="CJ27" s="197">
        <v>2</v>
      </c>
      <c r="CK27" s="197">
        <v>3</v>
      </c>
      <c r="CL27" s="197">
        <v>0</v>
      </c>
      <c r="CM27" s="197">
        <v>2</v>
      </c>
      <c r="CN27" s="197">
        <v>81.16</v>
      </c>
      <c r="CO27" s="197">
        <v>66.67</v>
      </c>
      <c r="CP27" s="197">
        <v>0</v>
      </c>
      <c r="CQ27" s="197">
        <v>100</v>
      </c>
      <c r="CR27" s="197">
        <v>2</v>
      </c>
      <c r="CS27" s="197">
        <v>3</v>
      </c>
      <c r="CT27" s="197">
        <v>0</v>
      </c>
      <c r="CU27" s="197">
        <v>1</v>
      </c>
      <c r="CV27" s="197">
        <v>40.58</v>
      </c>
      <c r="CW27" s="197">
        <v>33.33</v>
      </c>
      <c r="CX27" s="197">
        <v>0</v>
      </c>
      <c r="CY27" s="197">
        <v>100</v>
      </c>
      <c r="CZ27" s="197">
        <v>1</v>
      </c>
      <c r="DA27" s="197">
        <v>1</v>
      </c>
      <c r="DB27" s="197">
        <v>0</v>
      </c>
      <c r="DC27" s="197">
        <v>3</v>
      </c>
      <c r="DD27" s="197">
        <v>365.22</v>
      </c>
      <c r="DE27" s="197">
        <v>300</v>
      </c>
      <c r="DF27" s="197">
        <v>0</v>
      </c>
      <c r="DG27" s="197">
        <v>100</v>
      </c>
    </row>
    <row r="28" spans="1:111" ht="14.65" thickBot="1" x14ac:dyDescent="0.5">
      <c r="A28" s="163" t="s">
        <v>275</v>
      </c>
      <c r="B28" s="164" t="s">
        <v>276</v>
      </c>
      <c r="C28" s="164" t="s">
        <v>277</v>
      </c>
      <c r="D28" s="164" t="s">
        <v>282</v>
      </c>
      <c r="E28" s="196" t="s">
        <v>67</v>
      </c>
      <c r="F28" s="196" t="s">
        <v>199</v>
      </c>
      <c r="G28" s="196" t="s">
        <v>128</v>
      </c>
      <c r="H28" s="197">
        <v>7</v>
      </c>
      <c r="I28" s="197">
        <v>8</v>
      </c>
      <c r="J28" s="197">
        <v>0</v>
      </c>
      <c r="K28" s="197">
        <v>7</v>
      </c>
      <c r="L28" s="197">
        <v>106.52</v>
      </c>
      <c r="M28" s="197">
        <v>87.5</v>
      </c>
      <c r="N28" s="197">
        <v>0</v>
      </c>
      <c r="O28" s="197">
        <v>100</v>
      </c>
      <c r="P28" s="197">
        <v>3</v>
      </c>
      <c r="Q28" s="197">
        <v>4</v>
      </c>
      <c r="R28" s="197">
        <v>0</v>
      </c>
      <c r="S28" s="197">
        <v>6</v>
      </c>
      <c r="T28" s="197">
        <v>182.61</v>
      </c>
      <c r="U28" s="197">
        <v>150</v>
      </c>
      <c r="V28" s="197">
        <v>0</v>
      </c>
      <c r="W28" s="197">
        <v>100</v>
      </c>
      <c r="X28" s="197">
        <v>2</v>
      </c>
      <c r="Y28" s="197">
        <v>2</v>
      </c>
      <c r="Z28" s="197">
        <v>0</v>
      </c>
      <c r="AA28" s="197">
        <v>0</v>
      </c>
      <c r="AB28" s="197">
        <v>0</v>
      </c>
      <c r="AC28" s="197">
        <v>0</v>
      </c>
      <c r="AD28" s="197">
        <v>1</v>
      </c>
      <c r="AE28" s="197">
        <v>-100</v>
      </c>
      <c r="AF28" s="197">
        <v>4</v>
      </c>
      <c r="AG28" s="197">
        <v>5</v>
      </c>
      <c r="AH28" s="197">
        <v>0</v>
      </c>
      <c r="AI28" s="197">
        <v>3</v>
      </c>
      <c r="AJ28" s="197">
        <v>126.96</v>
      </c>
      <c r="AK28" s="197">
        <v>140</v>
      </c>
      <c r="AL28" s="197">
        <v>0</v>
      </c>
      <c r="AM28" s="197">
        <v>100</v>
      </c>
      <c r="AN28" s="197">
        <v>3</v>
      </c>
      <c r="AO28" s="197">
        <v>4</v>
      </c>
      <c r="AP28" s="197">
        <v>0</v>
      </c>
      <c r="AQ28" s="197">
        <v>1</v>
      </c>
      <c r="AR28" s="197">
        <v>30.43</v>
      </c>
      <c r="AS28" s="197">
        <v>25</v>
      </c>
      <c r="AT28" s="197">
        <v>0</v>
      </c>
      <c r="AU28" s="197">
        <v>100</v>
      </c>
      <c r="AV28" s="197">
        <v>25</v>
      </c>
      <c r="AW28" s="197">
        <v>30</v>
      </c>
      <c r="AX28" s="197">
        <v>0</v>
      </c>
      <c r="AY28" s="197">
        <v>33</v>
      </c>
      <c r="AZ28" s="197">
        <v>133.91</v>
      </c>
      <c r="BA28" s="197">
        <v>110</v>
      </c>
      <c r="BB28" s="197">
        <v>0</v>
      </c>
      <c r="BC28" s="197">
        <v>100</v>
      </c>
      <c r="BD28" s="197">
        <v>4</v>
      </c>
      <c r="BE28" s="197">
        <v>5</v>
      </c>
      <c r="BF28" s="197">
        <v>1</v>
      </c>
      <c r="BG28" s="197">
        <v>5</v>
      </c>
      <c r="BH28" s="197">
        <v>121.74</v>
      </c>
      <c r="BI28" s="197">
        <v>100</v>
      </c>
      <c r="BJ28" s="197">
        <v>0</v>
      </c>
      <c r="BK28" s="197">
        <v>100</v>
      </c>
      <c r="BL28" s="197">
        <v>0</v>
      </c>
      <c r="BM28" s="197">
        <v>0</v>
      </c>
      <c r="BN28" s="197">
        <v>0</v>
      </c>
      <c r="BO28" s="197">
        <v>0</v>
      </c>
      <c r="BP28" s="197">
        <v>100</v>
      </c>
      <c r="BQ28" s="197">
        <v>100</v>
      </c>
      <c r="BR28" s="197">
        <v>0</v>
      </c>
      <c r="BS28" s="197">
        <v>100</v>
      </c>
      <c r="BT28" s="197">
        <v>1</v>
      </c>
      <c r="BU28" s="197">
        <v>1</v>
      </c>
      <c r="BV28" s="197">
        <v>0</v>
      </c>
      <c r="BW28" s="197">
        <v>1</v>
      </c>
      <c r="BX28" s="197">
        <v>121.74</v>
      </c>
      <c r="BY28" s="197">
        <v>100</v>
      </c>
      <c r="BZ28" s="197">
        <v>0</v>
      </c>
      <c r="CA28" s="197">
        <v>100</v>
      </c>
      <c r="CB28" s="197">
        <v>7</v>
      </c>
      <c r="CC28" s="197">
        <v>9</v>
      </c>
      <c r="CD28" s="197">
        <v>0</v>
      </c>
      <c r="CE28" s="197">
        <v>12</v>
      </c>
      <c r="CF28" s="197">
        <v>162.32</v>
      </c>
      <c r="CG28" s="197">
        <v>133.33000000000001</v>
      </c>
      <c r="CH28" s="197">
        <v>0</v>
      </c>
      <c r="CI28" s="197">
        <v>100</v>
      </c>
      <c r="CJ28" s="197">
        <v>4</v>
      </c>
      <c r="CK28" s="197">
        <v>5</v>
      </c>
      <c r="CL28" s="197">
        <v>0</v>
      </c>
      <c r="CM28" s="197">
        <v>6</v>
      </c>
      <c r="CN28" s="197">
        <v>146.09</v>
      </c>
      <c r="CO28" s="197">
        <v>120</v>
      </c>
      <c r="CP28" s="197">
        <v>0</v>
      </c>
      <c r="CQ28" s="197">
        <v>100</v>
      </c>
      <c r="CR28" s="197">
        <v>3</v>
      </c>
      <c r="CS28" s="197">
        <v>4</v>
      </c>
      <c r="CT28" s="197">
        <v>0</v>
      </c>
      <c r="CU28" s="197">
        <v>4</v>
      </c>
      <c r="CV28" s="197">
        <v>121.74</v>
      </c>
      <c r="CW28" s="197">
        <v>100</v>
      </c>
      <c r="CX28" s="197">
        <v>0</v>
      </c>
      <c r="CY28" s="197">
        <v>100</v>
      </c>
      <c r="CZ28" s="197">
        <v>1</v>
      </c>
      <c r="DA28" s="197">
        <v>1</v>
      </c>
      <c r="DB28" s="197">
        <v>0</v>
      </c>
      <c r="DC28" s="197">
        <v>1</v>
      </c>
      <c r="DD28" s="197">
        <v>121.74</v>
      </c>
      <c r="DE28" s="197">
        <v>100</v>
      </c>
      <c r="DF28" s="197">
        <v>0</v>
      </c>
      <c r="DG28" s="197">
        <v>100</v>
      </c>
    </row>
    <row r="29" spans="1:111" ht="14.65" thickBot="1" x14ac:dyDescent="0.5">
      <c r="A29" s="165" t="s">
        <v>275</v>
      </c>
      <c r="B29" s="166" t="s">
        <v>276</v>
      </c>
      <c r="C29" s="166" t="s">
        <v>277</v>
      </c>
      <c r="D29" s="166" t="s">
        <v>283</v>
      </c>
      <c r="E29" s="199" t="s">
        <v>284</v>
      </c>
      <c r="F29" s="199" t="s">
        <v>285</v>
      </c>
      <c r="G29" s="199" t="s">
        <v>179</v>
      </c>
      <c r="H29" s="197">
        <v>2</v>
      </c>
      <c r="I29" s="197">
        <v>3</v>
      </c>
      <c r="J29" s="197">
        <v>0</v>
      </c>
      <c r="K29" s="197">
        <v>2</v>
      </c>
      <c r="L29" s="197">
        <v>81.16</v>
      </c>
      <c r="M29" s="197">
        <v>66.67</v>
      </c>
      <c r="N29" s="197">
        <v>0</v>
      </c>
      <c r="O29" s="197">
        <v>100</v>
      </c>
      <c r="P29" s="197">
        <v>2</v>
      </c>
      <c r="Q29" s="197">
        <v>2</v>
      </c>
      <c r="R29" s="197">
        <v>0</v>
      </c>
      <c r="S29" s="197">
        <v>2</v>
      </c>
      <c r="T29" s="197">
        <v>121.74</v>
      </c>
      <c r="U29" s="197">
        <v>100</v>
      </c>
      <c r="V29" s="197">
        <v>0</v>
      </c>
      <c r="W29" s="197">
        <v>100</v>
      </c>
      <c r="X29" s="197">
        <v>1</v>
      </c>
      <c r="Y29" s="197">
        <v>1</v>
      </c>
      <c r="Z29" s="197">
        <v>0</v>
      </c>
      <c r="AA29" s="197">
        <v>0</v>
      </c>
      <c r="AB29" s="197">
        <v>0</v>
      </c>
      <c r="AC29" s="197">
        <v>0</v>
      </c>
      <c r="AD29" s="197">
        <v>0</v>
      </c>
      <c r="AE29" s="197">
        <v>100</v>
      </c>
      <c r="AF29" s="197">
        <v>2</v>
      </c>
      <c r="AG29" s="197">
        <v>2</v>
      </c>
      <c r="AH29" s="197">
        <v>0</v>
      </c>
      <c r="AI29" s="197">
        <v>0</v>
      </c>
      <c r="AJ29" s="197">
        <v>200</v>
      </c>
      <c r="AK29" s="197">
        <v>200</v>
      </c>
      <c r="AL29" s="197">
        <v>0</v>
      </c>
      <c r="AM29" s="197">
        <v>100</v>
      </c>
      <c r="AN29" s="197">
        <v>2</v>
      </c>
      <c r="AO29" s="197">
        <v>3</v>
      </c>
      <c r="AP29" s="197">
        <v>0</v>
      </c>
      <c r="AQ29" s="197">
        <v>0</v>
      </c>
      <c r="AR29" s="197">
        <v>0</v>
      </c>
      <c r="AS29" s="197">
        <v>0</v>
      </c>
      <c r="AT29" s="197">
        <v>0</v>
      </c>
      <c r="AU29" s="197">
        <v>100</v>
      </c>
      <c r="AV29" s="197">
        <v>12</v>
      </c>
      <c r="AW29" s="197">
        <v>14</v>
      </c>
      <c r="AX29" s="197">
        <v>0</v>
      </c>
      <c r="AY29" s="197">
        <v>13</v>
      </c>
      <c r="AZ29" s="197">
        <v>113.04</v>
      </c>
      <c r="BA29" s="197">
        <v>92.86</v>
      </c>
      <c r="BB29" s="197">
        <v>0</v>
      </c>
      <c r="BC29" s="197">
        <v>100</v>
      </c>
      <c r="BD29" s="197">
        <v>2</v>
      </c>
      <c r="BE29" s="197">
        <v>2</v>
      </c>
      <c r="BF29" s="197">
        <v>0</v>
      </c>
      <c r="BG29" s="197">
        <v>0</v>
      </c>
      <c r="BH29" s="197">
        <v>0</v>
      </c>
      <c r="BI29" s="197">
        <v>0</v>
      </c>
      <c r="BJ29" s="197">
        <v>0</v>
      </c>
      <c r="BK29" s="197">
        <v>100</v>
      </c>
      <c r="BL29" s="197">
        <v>0</v>
      </c>
      <c r="BM29" s="197">
        <v>0</v>
      </c>
      <c r="BN29" s="197">
        <v>0</v>
      </c>
      <c r="BO29" s="197">
        <v>0</v>
      </c>
      <c r="BP29" s="197">
        <v>100</v>
      </c>
      <c r="BQ29" s="197">
        <v>100</v>
      </c>
      <c r="BR29" s="197">
        <v>0</v>
      </c>
      <c r="BS29" s="197">
        <v>100</v>
      </c>
      <c r="BT29" s="197">
        <v>1</v>
      </c>
      <c r="BU29" s="197">
        <v>1</v>
      </c>
      <c r="BV29" s="197">
        <v>0</v>
      </c>
      <c r="BW29" s="197">
        <v>0</v>
      </c>
      <c r="BX29" s="197">
        <v>0</v>
      </c>
      <c r="BY29" s="197">
        <v>0</v>
      </c>
      <c r="BZ29" s="197">
        <v>1</v>
      </c>
      <c r="CA29" s="197">
        <v>-100</v>
      </c>
      <c r="CB29" s="197">
        <v>4</v>
      </c>
      <c r="CC29" s="197">
        <v>5</v>
      </c>
      <c r="CD29" s="197">
        <v>0</v>
      </c>
      <c r="CE29" s="197">
        <v>3</v>
      </c>
      <c r="CF29" s="197">
        <v>73.040000000000006</v>
      </c>
      <c r="CG29" s="197">
        <v>60</v>
      </c>
      <c r="CH29" s="197">
        <v>0</v>
      </c>
      <c r="CI29" s="197">
        <v>100</v>
      </c>
      <c r="CJ29" s="197">
        <v>2</v>
      </c>
      <c r="CK29" s="197">
        <v>3</v>
      </c>
      <c r="CL29" s="197">
        <v>0</v>
      </c>
      <c r="CM29" s="197">
        <v>1</v>
      </c>
      <c r="CN29" s="197">
        <v>40.58</v>
      </c>
      <c r="CO29" s="197">
        <v>33.33</v>
      </c>
      <c r="CP29" s="197">
        <v>0</v>
      </c>
      <c r="CQ29" s="197">
        <v>100</v>
      </c>
      <c r="CR29" s="197">
        <v>2</v>
      </c>
      <c r="CS29" s="197">
        <v>3</v>
      </c>
      <c r="CT29" s="197">
        <v>0</v>
      </c>
      <c r="CU29" s="197">
        <v>4</v>
      </c>
      <c r="CV29" s="197">
        <v>162.32</v>
      </c>
      <c r="CW29" s="197">
        <v>133.33000000000001</v>
      </c>
      <c r="CX29" s="197">
        <v>0</v>
      </c>
      <c r="CY29" s="197">
        <v>100</v>
      </c>
      <c r="CZ29" s="197">
        <v>1</v>
      </c>
      <c r="DA29" s="197">
        <v>1</v>
      </c>
      <c r="DB29" s="197">
        <v>0</v>
      </c>
      <c r="DC29" s="197">
        <v>1</v>
      </c>
      <c r="DD29" s="197">
        <v>121.74</v>
      </c>
      <c r="DE29" s="197">
        <v>100</v>
      </c>
      <c r="DF29" s="197">
        <v>0</v>
      </c>
      <c r="DG29" s="197">
        <v>100</v>
      </c>
    </row>
  </sheetData>
  <mergeCells count="16">
    <mergeCell ref="X5:AE5"/>
    <mergeCell ref="A1:H1"/>
    <mergeCell ref="A2:H2"/>
    <mergeCell ref="A3:H3"/>
    <mergeCell ref="H5:O5"/>
    <mergeCell ref="P5:W5"/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89" customWidth="1"/>
    <col min="8" max="8" width="9" style="89"/>
    <col min="9" max="9" width="8.33203125" style="89" customWidth="1"/>
    <col min="10" max="10" width="9.33203125" style="89" customWidth="1"/>
    <col min="11" max="11" width="8.46484375" style="89" customWidth="1"/>
    <col min="12" max="12" width="7.86328125" style="89" customWidth="1"/>
    <col min="13" max="13" width="9.46484375" style="89" customWidth="1"/>
    <col min="14" max="14" width="7.46484375" style="89" customWidth="1"/>
    <col min="15" max="15" width="7.33203125" style="89" customWidth="1"/>
    <col min="16" max="16" width="8.6640625" style="89" customWidth="1"/>
    <col min="17" max="17" width="11.6640625" style="89" customWidth="1"/>
    <col min="18" max="18" width="8" style="89" customWidth="1"/>
    <col min="19" max="19" width="8.6640625" style="89" customWidth="1"/>
    <col min="20" max="20" width="8" style="89" customWidth="1"/>
    <col min="21" max="21" width="29.33203125" customWidth="1"/>
    <col min="22" max="22" width="11.86328125" customWidth="1"/>
  </cols>
  <sheetData>
    <row r="2" spans="1:20" ht="15.4" x14ac:dyDescent="0.45">
      <c r="A2" s="98"/>
      <c r="B2" s="98">
        <v>1</v>
      </c>
      <c r="C2" s="98">
        <v>2</v>
      </c>
      <c r="D2" s="98">
        <v>3</v>
      </c>
      <c r="E2" s="98">
        <v>4</v>
      </c>
      <c r="F2" s="98">
        <v>5</v>
      </c>
      <c r="G2" s="98">
        <v>6</v>
      </c>
      <c r="H2" s="98">
        <v>7</v>
      </c>
      <c r="I2" s="98">
        <v>8</v>
      </c>
      <c r="J2" s="98">
        <v>9</v>
      </c>
      <c r="K2" s="98">
        <v>10</v>
      </c>
      <c r="L2" s="98">
        <v>11</v>
      </c>
      <c r="M2" s="98">
        <v>12</v>
      </c>
      <c r="N2" s="98">
        <v>13</v>
      </c>
      <c r="O2" s="98">
        <v>14</v>
      </c>
      <c r="P2" s="98">
        <v>15</v>
      </c>
      <c r="Q2" s="98">
        <v>16</v>
      </c>
      <c r="R2" s="98">
        <v>17</v>
      </c>
      <c r="S2" s="98">
        <v>18</v>
      </c>
      <c r="T2" s="99">
        <v>29</v>
      </c>
    </row>
    <row r="3" spans="1:20" ht="78" customHeight="1" x14ac:dyDescent="0.45">
      <c r="A3" s="100" t="s">
        <v>0</v>
      </c>
      <c r="B3" s="243" t="s">
        <v>5</v>
      </c>
      <c r="C3" s="101" t="s">
        <v>200</v>
      </c>
      <c r="D3" s="101" t="s">
        <v>201</v>
      </c>
      <c r="E3" s="247" t="s">
        <v>202</v>
      </c>
      <c r="F3" s="245" t="s">
        <v>6</v>
      </c>
      <c r="G3" s="245" t="s">
        <v>7</v>
      </c>
      <c r="H3" s="245" t="s">
        <v>8</v>
      </c>
      <c r="I3" s="245" t="s">
        <v>9</v>
      </c>
      <c r="J3" s="245" t="s">
        <v>10</v>
      </c>
      <c r="K3" s="245" t="s">
        <v>11</v>
      </c>
      <c r="L3" s="245" t="s">
        <v>12</v>
      </c>
      <c r="M3" s="245" t="s">
        <v>203</v>
      </c>
      <c r="N3" s="245" t="s">
        <v>286</v>
      </c>
      <c r="O3" s="245" t="s">
        <v>14</v>
      </c>
      <c r="P3" s="245" t="s">
        <v>15</v>
      </c>
      <c r="Q3" s="245" t="s">
        <v>16</v>
      </c>
      <c r="R3" s="245" t="s">
        <v>17</v>
      </c>
      <c r="S3" s="245" t="s">
        <v>18</v>
      </c>
      <c r="T3" s="99"/>
    </row>
    <row r="4" spans="1:20" ht="21" customHeight="1" x14ac:dyDescent="0.45">
      <c r="A4" s="100"/>
      <c r="B4" s="244"/>
      <c r="C4" s="101"/>
      <c r="D4" s="101"/>
      <c r="E4" s="248"/>
      <c r="F4" s="246"/>
      <c r="G4" s="246"/>
      <c r="H4" s="246"/>
      <c r="I4" s="246"/>
      <c r="J4" s="246"/>
      <c r="K4" s="246"/>
      <c r="L4" s="246"/>
      <c r="M4" s="246"/>
      <c r="N4" s="246"/>
      <c r="O4" s="246"/>
      <c r="P4" s="246"/>
      <c r="Q4" s="246"/>
      <c r="R4" s="246"/>
      <c r="S4" s="246"/>
      <c r="T4" s="99"/>
    </row>
    <row r="5" spans="1:20" ht="21" customHeight="1" x14ac:dyDescent="0.45">
      <c r="A5" s="100"/>
      <c r="B5" s="102"/>
      <c r="C5" s="101"/>
      <c r="D5" s="101"/>
      <c r="E5" s="101"/>
      <c r="F5" s="103">
        <v>134</v>
      </c>
      <c r="G5" s="104">
        <v>136</v>
      </c>
      <c r="H5" s="105">
        <v>67</v>
      </c>
      <c r="I5" s="103">
        <v>51</v>
      </c>
      <c r="J5" s="104">
        <v>125</v>
      </c>
      <c r="K5" s="103">
        <v>307</v>
      </c>
      <c r="L5" s="105">
        <v>806</v>
      </c>
      <c r="M5" s="103">
        <v>273</v>
      </c>
      <c r="N5" s="104">
        <v>59</v>
      </c>
      <c r="O5" s="105">
        <v>57</v>
      </c>
      <c r="P5" s="103"/>
      <c r="Q5" s="104">
        <v>57</v>
      </c>
      <c r="R5" s="103">
        <v>21</v>
      </c>
      <c r="S5" s="104">
        <v>4</v>
      </c>
      <c r="T5" s="99"/>
    </row>
    <row r="6" spans="1:20" s="45" customFormat="1" ht="21.5" customHeight="1" x14ac:dyDescent="0.45">
      <c r="A6" s="130">
        <v>1</v>
      </c>
      <c r="B6" s="109" t="s">
        <v>20</v>
      </c>
      <c r="C6" s="111" t="s">
        <v>66</v>
      </c>
      <c r="D6" s="122" t="s">
        <v>67</v>
      </c>
      <c r="E6" s="112" t="s">
        <v>128</v>
      </c>
      <c r="F6" s="136">
        <f>VLOOKUP(D6,GBOC!$E$7:$DG$29,$C$23,0)</f>
        <v>8</v>
      </c>
      <c r="G6" s="136">
        <f>VLOOKUP(D6,GBOC!$E$7:$DG$29,$C$24,0)</f>
        <v>4</v>
      </c>
      <c r="H6" s="136">
        <f>VLOOKUP(D6,GBOC!$E$7:$DG$29,$C$25,0)</f>
        <v>5</v>
      </c>
      <c r="I6" s="136">
        <f>VLOOKUP(D6,GBOC!$E$7:$DG$29,$C$26,0)</f>
        <v>5</v>
      </c>
      <c r="J6" s="136">
        <f>VLOOKUP(D6,GBOC!$E$7:$DG$29,$C$27,0)</f>
        <v>4</v>
      </c>
      <c r="K6" s="136">
        <f>VLOOKUP(D6,GBOC!$E$7:$DG$29,$C$28,0)</f>
        <v>1</v>
      </c>
      <c r="L6" s="136">
        <f>VLOOKUP(D6,GBOC!$E$7:$DG$29,$C$29,0)</f>
        <v>30</v>
      </c>
      <c r="M6" s="136">
        <f>VLOOKUP(D6,GBOC!$E$7:$DG$29,$C$30,0)</f>
        <v>9</v>
      </c>
      <c r="N6" s="136">
        <f>VLOOKUP(D6,GBOC!$E$7:$DG$29,$C$31,0)</f>
        <v>4</v>
      </c>
      <c r="O6" s="136">
        <f>VLOOKUP(D6,GBOC!$E$7:$DG$29,$C$32,0)</f>
        <v>5</v>
      </c>
      <c r="P6" s="110">
        <v>0.97</v>
      </c>
      <c r="Q6" s="136">
        <f>VLOOKUP(D6,GBOC!$E$7:$DG$29,$C$34,0)</f>
        <v>2</v>
      </c>
      <c r="R6" s="136">
        <f>VLOOKUP(D6,GBOC!$E$7:$DG$29,$C$36,0)</f>
        <v>1</v>
      </c>
      <c r="S6" s="136">
        <f>VLOOKUP(D6,GBOC!$E$7:$DG$29,$C$37,0)</f>
        <v>0</v>
      </c>
      <c r="T6" s="99"/>
    </row>
    <row r="7" spans="1:20" s="23" customFormat="1" ht="21.5" customHeight="1" x14ac:dyDescent="0.45">
      <c r="A7" s="130">
        <v>2</v>
      </c>
      <c r="B7" s="109" t="s">
        <v>21</v>
      </c>
      <c r="C7" s="109" t="s">
        <v>71</v>
      </c>
      <c r="D7" s="122" t="s">
        <v>72</v>
      </c>
      <c r="E7" s="108" t="s">
        <v>129</v>
      </c>
      <c r="F7" s="136">
        <f>VLOOKUP(D7,GBOC!$E$7:$DG$29,$C$23,0)</f>
        <v>7</v>
      </c>
      <c r="G7" s="136">
        <f>VLOOKUP(D7,GBOC!$E$7:$DG$29,$C$24,0)</f>
        <v>4</v>
      </c>
      <c r="H7" s="136">
        <f>VLOOKUP(D7,GBOC!$E$7:$DG$29,$C$25,0)</f>
        <v>5</v>
      </c>
      <c r="I7" s="136">
        <f>VLOOKUP(D7,GBOC!$E$7:$DG$29,$C$26,0)</f>
        <v>4</v>
      </c>
      <c r="J7" s="136">
        <f>VLOOKUP(D7,GBOC!$E$7:$DG$29,$C$27,0)</f>
        <v>4</v>
      </c>
      <c r="K7" s="136">
        <f>VLOOKUP(D7,GBOC!$E$7:$DG$29,$C$28,0)</f>
        <v>1</v>
      </c>
      <c r="L7" s="136">
        <f>VLOOKUP(D7,GBOC!$E$7:$DG$29,$C$29,0)</f>
        <v>30</v>
      </c>
      <c r="M7" s="136">
        <f>VLOOKUP(D7,GBOC!$E$7:$DG$29,$C$30,0)</f>
        <v>8</v>
      </c>
      <c r="N7" s="136">
        <f>VLOOKUP(D7,GBOC!$E$7:$DG$29,$C$31,0)</f>
        <v>4</v>
      </c>
      <c r="O7" s="136">
        <f>VLOOKUP(D7,GBOC!$E$7:$DG$29,$C$32,0)</f>
        <v>5</v>
      </c>
      <c r="P7" s="110">
        <v>0.97</v>
      </c>
      <c r="Q7" s="136">
        <f>VLOOKUP(D7,GBOC!$E$7:$DG$29,$C$34,0)</f>
        <v>3</v>
      </c>
      <c r="R7" s="136">
        <f>VLOOKUP(D7,GBOC!$E$7:$DG$29,$C$36,0)</f>
        <v>1</v>
      </c>
      <c r="S7" s="136">
        <f>VLOOKUP(D7,GBOC!$E$7:$DG$29,$C$37,0)</f>
        <v>1</v>
      </c>
      <c r="T7" s="99"/>
    </row>
    <row r="8" spans="1:20" s="23" customFormat="1" ht="21.5" customHeight="1" x14ac:dyDescent="0.45">
      <c r="A8" s="130">
        <v>3</v>
      </c>
      <c r="B8" s="109" t="s">
        <v>22</v>
      </c>
      <c r="C8" s="109" t="s">
        <v>74</v>
      </c>
      <c r="D8" s="122" t="s">
        <v>75</v>
      </c>
      <c r="E8" s="108" t="s">
        <v>129</v>
      </c>
      <c r="F8" s="136">
        <f>VLOOKUP(D8,GBOC!$E$7:$DG$29,$C$23,0)</f>
        <v>7</v>
      </c>
      <c r="G8" s="136">
        <f>VLOOKUP(D8,GBOC!$E$7:$DG$29,$C$24,0)</f>
        <v>4</v>
      </c>
      <c r="H8" s="136">
        <f>VLOOKUP(D8,GBOC!$E$7:$DG$29,$C$25,0)</f>
        <v>5</v>
      </c>
      <c r="I8" s="136">
        <f>VLOOKUP(D8,GBOC!$E$7:$DG$29,$C$26,0)</f>
        <v>4</v>
      </c>
      <c r="J8" s="136">
        <f>VLOOKUP(D8,GBOC!$E$7:$DG$29,$C$27,0)</f>
        <v>3</v>
      </c>
      <c r="K8" s="136">
        <f>VLOOKUP(D8,GBOC!$E$7:$DG$29,$C$28,0)</f>
        <v>1</v>
      </c>
      <c r="L8" s="136">
        <f>VLOOKUP(D8,GBOC!$E$7:$DG$29,$C$29,0)</f>
        <v>30</v>
      </c>
      <c r="M8" s="136">
        <f>VLOOKUP(D8,GBOC!$E$7:$DG$29,$C$30,0)</f>
        <v>8</v>
      </c>
      <c r="N8" s="136">
        <f>VLOOKUP(D8,GBOC!$E$7:$DG$29,$C$31,0)</f>
        <v>4</v>
      </c>
      <c r="O8" s="136">
        <f>VLOOKUP(D8,GBOC!$E$7:$DG$29,$C$32,0)</f>
        <v>5</v>
      </c>
      <c r="P8" s="110">
        <v>0.97</v>
      </c>
      <c r="Q8" s="136">
        <f>VLOOKUP(D8,GBOC!$E$7:$DG$29,$C$34,0)</f>
        <v>3</v>
      </c>
      <c r="R8" s="136">
        <f>VLOOKUP(D8,GBOC!$E$7:$DG$29,$C$36,0)</f>
        <v>1</v>
      </c>
      <c r="S8" s="136">
        <f>VLOOKUP(D8,GBOC!$E$7:$DG$29,$C$37,0)</f>
        <v>0</v>
      </c>
      <c r="T8" s="99"/>
    </row>
    <row r="9" spans="1:20" ht="21.5" customHeight="1" x14ac:dyDescent="0.45">
      <c r="A9" s="130">
        <v>4</v>
      </c>
      <c r="B9" s="109" t="s">
        <v>24</v>
      </c>
      <c r="C9" s="106" t="s">
        <v>77</v>
      </c>
      <c r="D9" s="122" t="s">
        <v>78</v>
      </c>
      <c r="E9" s="108" t="s">
        <v>129</v>
      </c>
      <c r="F9" s="136">
        <f>VLOOKUP(D9,GBOC!$E$7:$DG$29,$C$23,0)</f>
        <v>7</v>
      </c>
      <c r="G9" s="136">
        <f>VLOOKUP(D9,GBOC!$E$7:$DG$29,$C$24,0)</f>
        <v>3</v>
      </c>
      <c r="H9" s="136">
        <f>VLOOKUP(D9,GBOC!$E$7:$DG$29,$C$25,0)</f>
        <v>4</v>
      </c>
      <c r="I9" s="136">
        <f>VLOOKUP(D9,GBOC!$E$7:$DG$29,$C$26,0)</f>
        <v>4</v>
      </c>
      <c r="J9" s="136">
        <f>VLOOKUP(D9,GBOC!$E$7:$DG$29,$C$27,0)</f>
        <v>3</v>
      </c>
      <c r="K9" s="136">
        <f>VLOOKUP(D9,GBOC!$E$7:$DG$29,$C$28,0)</f>
        <v>1</v>
      </c>
      <c r="L9" s="136">
        <f>VLOOKUP(D9,GBOC!$E$7:$DG$29,$C$29,0)</f>
        <v>30</v>
      </c>
      <c r="M9" s="136">
        <f>VLOOKUP(D9,GBOC!$E$7:$DG$29,$C$30,0)</f>
        <v>8</v>
      </c>
      <c r="N9" s="136">
        <f>VLOOKUP(D9,GBOC!$E$7:$DG$29,$C$31,0)</f>
        <v>4</v>
      </c>
      <c r="O9" s="136">
        <f>VLOOKUP(D9,GBOC!$E$7:$DG$29,$C$32,0)</f>
        <v>3</v>
      </c>
      <c r="P9" s="110">
        <v>0.97</v>
      </c>
      <c r="Q9" s="136">
        <f>VLOOKUP(D9,GBOC!$E$7:$DG$29,$C$34,0)</f>
        <v>1</v>
      </c>
      <c r="R9" s="136">
        <f>VLOOKUP(D9,GBOC!$E$7:$DG$29,$C$36,0)</f>
        <v>1</v>
      </c>
      <c r="S9" s="136">
        <f>VLOOKUP(D9,GBOC!$E$7:$DG$29,$C$37,0)</f>
        <v>0</v>
      </c>
      <c r="T9" s="99"/>
    </row>
    <row r="10" spans="1:20" ht="21.5" customHeight="1" x14ac:dyDescent="0.45">
      <c r="A10" s="130">
        <v>5</v>
      </c>
      <c r="B10" s="109" t="s">
        <v>25</v>
      </c>
      <c r="C10" s="106" t="s">
        <v>80</v>
      </c>
      <c r="D10" s="122" t="s">
        <v>81</v>
      </c>
      <c r="E10" s="107" t="s">
        <v>179</v>
      </c>
      <c r="F10" s="136">
        <f>VLOOKUP(D10,GBOC!$E$7:$DG$29,$C$23,0)</f>
        <v>7</v>
      </c>
      <c r="G10" s="136">
        <f>VLOOKUP(D10,GBOC!$E$7:$DG$29,$C$24,0)</f>
        <v>4</v>
      </c>
      <c r="H10" s="136">
        <f>VLOOKUP(D10,GBOC!$E$7:$DG$29,$C$25,0)</f>
        <v>5</v>
      </c>
      <c r="I10" s="136">
        <f>VLOOKUP(D10,GBOC!$E$7:$DG$29,$C$26,0)</f>
        <v>4</v>
      </c>
      <c r="J10" s="136">
        <f>VLOOKUP(D10,GBOC!$E$7:$DG$29,$C$27,0)</f>
        <v>4</v>
      </c>
      <c r="K10" s="136">
        <f>VLOOKUP(D10,GBOC!$E$7:$DG$29,$C$28,0)</f>
        <v>1</v>
      </c>
      <c r="L10" s="136">
        <f>VLOOKUP(D10,GBOC!$E$7:$DG$29,$C$29,0)</f>
        <v>40</v>
      </c>
      <c r="M10" s="136">
        <f>VLOOKUP(D10,GBOC!$E$7:$DG$29,$C$30,0)</f>
        <v>8</v>
      </c>
      <c r="N10" s="136">
        <f>VLOOKUP(D10,GBOC!$E$7:$DG$29,$C$31,0)</f>
        <v>3</v>
      </c>
      <c r="O10" s="136">
        <f>VLOOKUP(D10,GBOC!$E$7:$DG$29,$C$32,0)</f>
        <v>4</v>
      </c>
      <c r="P10" s="110">
        <v>0.97</v>
      </c>
      <c r="Q10" s="136">
        <f>VLOOKUP(D10,GBOC!$E$7:$DG$29,$C$34,0)</f>
        <v>2</v>
      </c>
      <c r="R10" s="136">
        <f>VLOOKUP(D10,GBOC!$E$7:$DG$29,$C$36,0)</f>
        <v>1</v>
      </c>
      <c r="S10" s="136">
        <f>VLOOKUP(D10,GBOC!$E$7:$DG$29,$C$37,0)</f>
        <v>0</v>
      </c>
      <c r="T10" s="99"/>
    </row>
    <row r="11" spans="1:20" ht="21.5" customHeight="1" x14ac:dyDescent="0.45">
      <c r="A11" s="130">
        <v>6</v>
      </c>
      <c r="B11" s="109" t="s">
        <v>26</v>
      </c>
      <c r="C11" s="106" t="s">
        <v>83</v>
      </c>
      <c r="D11" s="122" t="s">
        <v>84</v>
      </c>
      <c r="E11" s="108" t="s">
        <v>129</v>
      </c>
      <c r="F11" s="136">
        <f>VLOOKUP(D11,GBOC!$E$7:$DG$29,$C$23,0)</f>
        <v>7</v>
      </c>
      <c r="G11" s="136">
        <f>VLOOKUP(D11,GBOC!$E$7:$DG$29,$C$24,0)</f>
        <v>3</v>
      </c>
      <c r="H11" s="136">
        <f>VLOOKUP(D11,GBOC!$E$7:$DG$29,$C$25,0)</f>
        <v>4</v>
      </c>
      <c r="I11" s="136">
        <f>VLOOKUP(D11,GBOC!$E$7:$DG$29,$C$26,0)</f>
        <v>4</v>
      </c>
      <c r="J11" s="136">
        <f>VLOOKUP(D11,GBOC!$E$7:$DG$29,$C$27,0)</f>
        <v>3</v>
      </c>
      <c r="K11" s="136">
        <f>VLOOKUP(D11,GBOC!$E$7:$DG$29,$C$28,0)</f>
        <v>1</v>
      </c>
      <c r="L11" s="136">
        <f>VLOOKUP(D11,GBOC!$E$7:$DG$29,$C$29,0)</f>
        <v>30</v>
      </c>
      <c r="M11" s="136">
        <f>VLOOKUP(D11,GBOC!$E$7:$DG$29,$C$30,0)</f>
        <v>8</v>
      </c>
      <c r="N11" s="136">
        <f>VLOOKUP(D11,GBOC!$E$7:$DG$29,$C$31,0)</f>
        <v>4</v>
      </c>
      <c r="O11" s="136">
        <f>VLOOKUP(D11,GBOC!$E$7:$DG$29,$C$32,0)</f>
        <v>4</v>
      </c>
      <c r="P11" s="110">
        <v>0.97</v>
      </c>
      <c r="Q11" s="136">
        <f>VLOOKUP(D11,GBOC!$E$7:$DG$29,$C$34,0)</f>
        <v>1</v>
      </c>
      <c r="R11" s="136">
        <f>VLOOKUP(D11,GBOC!$E$7:$DG$29,$C$36,0)</f>
        <v>1</v>
      </c>
      <c r="S11" s="136">
        <f>VLOOKUP(D11,GBOC!$E$7:$DG$29,$C$37,0)</f>
        <v>0</v>
      </c>
      <c r="T11" s="99"/>
    </row>
    <row r="12" spans="1:20" s="23" customFormat="1" ht="21.5" customHeight="1" x14ac:dyDescent="0.45">
      <c r="A12" s="130">
        <v>7</v>
      </c>
      <c r="B12" s="109" t="s">
        <v>27</v>
      </c>
      <c r="C12" s="106" t="s">
        <v>86</v>
      </c>
      <c r="D12" s="122" t="s">
        <v>87</v>
      </c>
      <c r="E12" s="112" t="s">
        <v>128</v>
      </c>
      <c r="F12" s="136">
        <f>VLOOKUP(D12,GBOC!$E$7:$DG$29,$C$23,0)</f>
        <v>8</v>
      </c>
      <c r="G12" s="136">
        <f>VLOOKUP(D12,GBOC!$E$7:$DG$29,$C$24,0)</f>
        <v>4</v>
      </c>
      <c r="H12" s="136">
        <f>VLOOKUP(D12,GBOC!$E$7:$DG$29,$C$25,0)</f>
        <v>5</v>
      </c>
      <c r="I12" s="136">
        <f>VLOOKUP(D12,GBOC!$E$7:$DG$29,$C$26,0)</f>
        <v>5</v>
      </c>
      <c r="J12" s="136">
        <f>VLOOKUP(D12,GBOC!$E$7:$DG$29,$C$27,0)</f>
        <v>4</v>
      </c>
      <c r="K12" s="136">
        <f>VLOOKUP(D12,GBOC!$E$7:$DG$29,$C$28,0)</f>
        <v>1</v>
      </c>
      <c r="L12" s="136">
        <f>VLOOKUP(D12,GBOC!$E$7:$DG$29,$C$29,0)</f>
        <v>50</v>
      </c>
      <c r="M12" s="136">
        <f>VLOOKUP(D12,GBOC!$E$7:$DG$29,$C$30,0)</f>
        <v>9</v>
      </c>
      <c r="N12" s="136">
        <f>VLOOKUP(D12,GBOC!$E$7:$DG$29,$C$31,0)</f>
        <v>4</v>
      </c>
      <c r="O12" s="136">
        <f>VLOOKUP(D12,GBOC!$E$7:$DG$29,$C$32,0)</f>
        <v>5</v>
      </c>
      <c r="P12" s="110">
        <v>0.97</v>
      </c>
      <c r="Q12" s="136">
        <f>VLOOKUP(D12,GBOC!$E$7:$DG$29,$C$34,0)</f>
        <v>2</v>
      </c>
      <c r="R12" s="136">
        <f>VLOOKUP(D12,GBOC!$E$7:$DG$29,$C$36,0)</f>
        <v>1</v>
      </c>
      <c r="S12" s="136">
        <f>VLOOKUP(D12,GBOC!$E$7:$DG$29,$C$37,0)</f>
        <v>1</v>
      </c>
      <c r="T12" s="99"/>
    </row>
    <row r="13" spans="1:20" s="45" customFormat="1" ht="21.5" customHeight="1" x14ac:dyDescent="0.45">
      <c r="A13" s="130">
        <v>8</v>
      </c>
      <c r="B13" s="109" t="s">
        <v>29</v>
      </c>
      <c r="C13" s="106" t="s">
        <v>92</v>
      </c>
      <c r="D13" s="122" t="s">
        <v>93</v>
      </c>
      <c r="E13" s="112" t="s">
        <v>128</v>
      </c>
      <c r="F13" s="136" t="e">
        <f>VLOOKUP(D13,GBOC!$E$7:$DG$29,$C$23,0)</f>
        <v>#N/A</v>
      </c>
      <c r="G13" s="136" t="e">
        <f>VLOOKUP(D13,GBOC!$E$7:$DG$29,$C$24,0)</f>
        <v>#N/A</v>
      </c>
      <c r="H13" s="136" t="e">
        <f>VLOOKUP(D13,GBOC!$E$7:$DG$29,$C$25,0)</f>
        <v>#N/A</v>
      </c>
      <c r="I13" s="136" t="e">
        <f>VLOOKUP(D13,GBOC!$E$7:$DG$29,$C$26,0)</f>
        <v>#N/A</v>
      </c>
      <c r="J13" s="136" t="e">
        <f>VLOOKUP(D13,GBOC!$E$7:$DG$29,$C$27,0)</f>
        <v>#N/A</v>
      </c>
      <c r="K13" s="136" t="e">
        <f>VLOOKUP(D13,GBOC!$E$7:$DG$29,$C$28,0)</f>
        <v>#N/A</v>
      </c>
      <c r="L13" s="136" t="e">
        <f>VLOOKUP(D13,GBOC!$E$7:$DG$29,$C$29,0)</f>
        <v>#N/A</v>
      </c>
      <c r="M13" s="136" t="e">
        <f>VLOOKUP(D13,GBOC!$E$7:$DG$29,$C$30,0)</f>
        <v>#N/A</v>
      </c>
      <c r="N13" s="136" t="e">
        <f>VLOOKUP(D13,GBOC!$E$7:$DG$29,$C$31,0)</f>
        <v>#N/A</v>
      </c>
      <c r="O13" s="136" t="e">
        <f>VLOOKUP(D13,GBOC!$E$7:$DG$29,$C$32,0)</f>
        <v>#N/A</v>
      </c>
      <c r="P13" s="110">
        <v>0.97</v>
      </c>
      <c r="Q13" s="136" t="e">
        <f>VLOOKUP(D13,GBOC!$E$7:$DG$29,$C$34,0)</f>
        <v>#N/A</v>
      </c>
      <c r="R13" s="136" t="e">
        <f>VLOOKUP(D13,GBOC!$E$7:$DG$29,$C$36,0)</f>
        <v>#N/A</v>
      </c>
      <c r="S13" s="136" t="e">
        <f>VLOOKUP(D13,GBOC!$E$7:$DG$29,$C$37,0)</f>
        <v>#N/A</v>
      </c>
      <c r="T13" s="99"/>
    </row>
    <row r="14" spans="1:20" ht="21.5" customHeight="1" x14ac:dyDescent="0.45">
      <c r="A14" s="130">
        <v>9</v>
      </c>
      <c r="B14" s="109" t="s">
        <v>28</v>
      </c>
      <c r="C14" s="111" t="s">
        <v>98</v>
      </c>
      <c r="D14" s="131" t="s">
        <v>99</v>
      </c>
      <c r="E14" s="112" t="s">
        <v>128</v>
      </c>
      <c r="F14" s="136">
        <f>VLOOKUP(D14,GBOC!$E$7:$DG$29,$C$23,0)</f>
        <v>8</v>
      </c>
      <c r="G14" s="136">
        <f>VLOOKUP(D14,GBOC!$E$7:$DG$29,$C$24,0)</f>
        <v>4</v>
      </c>
      <c r="H14" s="136">
        <f>VLOOKUP(D14,GBOC!$E$7:$DG$29,$C$25,0)</f>
        <v>5</v>
      </c>
      <c r="I14" s="136">
        <f>VLOOKUP(D14,GBOC!$E$7:$DG$29,$C$26,0)</f>
        <v>5</v>
      </c>
      <c r="J14" s="136">
        <f>VLOOKUP(D14,GBOC!$E$7:$DG$29,$C$27,0)</f>
        <v>3</v>
      </c>
      <c r="K14" s="136">
        <f>VLOOKUP(D14,GBOC!$E$7:$DG$29,$C$28,0)</f>
        <v>1</v>
      </c>
      <c r="L14" s="136">
        <f>VLOOKUP(D14,GBOC!$E$7:$DG$29,$C$29,0)</f>
        <v>30</v>
      </c>
      <c r="M14" s="136">
        <f>VLOOKUP(D14,GBOC!$E$7:$DG$29,$C$30,0)</f>
        <v>9</v>
      </c>
      <c r="N14" s="136">
        <f>VLOOKUP(D14,GBOC!$E$7:$DG$29,$C$31,0)</f>
        <v>4</v>
      </c>
      <c r="O14" s="136">
        <f>VLOOKUP(D14,GBOC!$E$7:$DG$29,$C$32,0)</f>
        <v>5</v>
      </c>
      <c r="P14" s="110">
        <v>0.97</v>
      </c>
      <c r="Q14" s="136">
        <f>VLOOKUP(D14,GBOC!$E$7:$DG$29,$C$34,0)</f>
        <v>3</v>
      </c>
      <c r="R14" s="136">
        <f>VLOOKUP(D14,GBOC!$E$7:$DG$29,$C$36,0)</f>
        <v>1</v>
      </c>
      <c r="S14" s="136">
        <f>VLOOKUP(D14,GBOC!$E$7:$DG$29,$C$37,0)</f>
        <v>0</v>
      </c>
      <c r="T14" s="99"/>
    </row>
    <row r="15" spans="1:20" ht="21.5" customHeight="1" x14ac:dyDescent="0.45">
      <c r="A15" s="130">
        <v>10</v>
      </c>
      <c r="B15" s="109" t="s">
        <v>23</v>
      </c>
      <c r="C15" s="111" t="s">
        <v>106</v>
      </c>
      <c r="D15" s="122" t="s">
        <v>107</v>
      </c>
      <c r="E15" s="108" t="s">
        <v>129</v>
      </c>
      <c r="F15" s="136">
        <f>VLOOKUP(D15,GBOC!$E$7:$DG$29,$C$23,0)</f>
        <v>7</v>
      </c>
      <c r="G15" s="136">
        <f>VLOOKUP(D15,GBOC!$E$7:$DG$29,$C$24,0)</f>
        <v>4</v>
      </c>
      <c r="H15" s="136">
        <f>VLOOKUP(D15,GBOC!$E$7:$DG$29,$C$25,0)</f>
        <v>5</v>
      </c>
      <c r="I15" s="136">
        <f>VLOOKUP(D15,GBOC!$E$7:$DG$29,$C$26,0)</f>
        <v>4</v>
      </c>
      <c r="J15" s="136">
        <f>VLOOKUP(D15,GBOC!$E$7:$DG$29,$C$27,0)</f>
        <v>4</v>
      </c>
      <c r="K15" s="136">
        <f>VLOOKUP(D15,GBOC!$E$7:$DG$29,$C$28,0)</f>
        <v>1</v>
      </c>
      <c r="L15" s="136">
        <f>VLOOKUP(D15,GBOC!$E$7:$DG$29,$C$29,0)</f>
        <v>30</v>
      </c>
      <c r="M15" s="136">
        <f>VLOOKUP(D15,GBOC!$E$7:$DG$29,$C$30,0)</f>
        <v>8</v>
      </c>
      <c r="N15" s="136">
        <f>VLOOKUP(D15,GBOC!$E$7:$DG$29,$C$31,0)</f>
        <v>4</v>
      </c>
      <c r="O15" s="136">
        <f>VLOOKUP(D15,GBOC!$E$7:$DG$29,$C$32,0)</f>
        <v>5</v>
      </c>
      <c r="P15" s="110">
        <v>0.97</v>
      </c>
      <c r="Q15" s="136">
        <f>VLOOKUP(D15,GBOC!$E$7:$DG$29,$C$34,0)</f>
        <v>3</v>
      </c>
      <c r="R15" s="136">
        <f>VLOOKUP(D15,GBOC!$E$7:$DG$29,$C$36,0)</f>
        <v>1</v>
      </c>
      <c r="S15" s="136">
        <f>VLOOKUP(D15,GBOC!$E$7:$DG$29,$C$37,0)</f>
        <v>0</v>
      </c>
      <c r="T15" s="99"/>
    </row>
    <row r="16" spans="1:20" ht="21.5" customHeight="1" x14ac:dyDescent="0.45">
      <c r="A16" s="130">
        <v>11</v>
      </c>
      <c r="B16" s="109" t="s">
        <v>32</v>
      </c>
      <c r="C16" s="113" t="s">
        <v>109</v>
      </c>
      <c r="D16" s="122" t="s">
        <v>110</v>
      </c>
      <c r="E16" s="112" t="s">
        <v>128</v>
      </c>
      <c r="F16" s="136">
        <f>VLOOKUP(D16,GBOC!$E$7:$DG$29,$C$23,0)</f>
        <v>8</v>
      </c>
      <c r="G16" s="136">
        <f>VLOOKUP(D16,GBOC!$E$7:$DG$29,$C$24,0)</f>
        <v>4</v>
      </c>
      <c r="H16" s="136">
        <f>VLOOKUP(D16,GBOC!$E$7:$DG$29,$C$25,0)</f>
        <v>5</v>
      </c>
      <c r="I16" s="136">
        <f>VLOOKUP(D16,GBOC!$E$7:$DG$29,$C$26,0)</f>
        <v>5</v>
      </c>
      <c r="J16" s="136">
        <f>VLOOKUP(D16,GBOC!$E$7:$DG$29,$C$27,0)</f>
        <v>3</v>
      </c>
      <c r="K16" s="136">
        <f>VLOOKUP(D16,GBOC!$E$7:$DG$29,$C$28,0)</f>
        <v>1</v>
      </c>
      <c r="L16" s="136">
        <f>VLOOKUP(D16,GBOC!$E$7:$DG$29,$C$29,0)</f>
        <v>30</v>
      </c>
      <c r="M16" s="136">
        <f>VLOOKUP(D16,GBOC!$E$7:$DG$29,$C$30,0)</f>
        <v>9</v>
      </c>
      <c r="N16" s="136">
        <f>VLOOKUP(D16,GBOC!$E$7:$DG$29,$C$31,0)</f>
        <v>4</v>
      </c>
      <c r="O16" s="136">
        <f>VLOOKUP(D16,GBOC!$E$7:$DG$29,$C$32,0)</f>
        <v>5</v>
      </c>
      <c r="P16" s="110">
        <v>0.97</v>
      </c>
      <c r="Q16" s="136">
        <f>VLOOKUP(D16,GBOC!$E$7:$DG$29,$C$34,0)</f>
        <v>2</v>
      </c>
      <c r="R16" s="136">
        <f>VLOOKUP(D16,GBOC!$E$7:$DG$29,$C$36,0)</f>
        <v>1</v>
      </c>
      <c r="S16" s="136">
        <f>VLOOKUP(D16,GBOC!$E$7:$DG$29,$C$37,0)</f>
        <v>0</v>
      </c>
      <c r="T16" s="99"/>
    </row>
    <row r="17" spans="1:20" ht="21.5" customHeight="1" x14ac:dyDescent="0.45">
      <c r="A17" s="130">
        <v>12</v>
      </c>
      <c r="B17" s="109" t="s">
        <v>31</v>
      </c>
      <c r="C17" s="111" t="s">
        <v>112</v>
      </c>
      <c r="D17" s="122" t="s">
        <v>113</v>
      </c>
      <c r="E17" s="108" t="s">
        <v>129</v>
      </c>
      <c r="F17" s="136">
        <f>VLOOKUP(D17,GBOC!$E$7:$DG$29,$C$23,0)</f>
        <v>7</v>
      </c>
      <c r="G17" s="136">
        <f>VLOOKUP(D17,GBOC!$E$7:$DG$29,$C$24,0)</f>
        <v>4</v>
      </c>
      <c r="H17" s="136">
        <f>VLOOKUP(D17,GBOC!$E$7:$DG$29,$C$25,0)</f>
        <v>5</v>
      </c>
      <c r="I17" s="136">
        <f>VLOOKUP(D17,GBOC!$E$7:$DG$29,$C$26,0)</f>
        <v>4</v>
      </c>
      <c r="J17" s="136">
        <f>VLOOKUP(D17,GBOC!$E$7:$DG$29,$C$27,0)</f>
        <v>4</v>
      </c>
      <c r="K17" s="136">
        <f>VLOOKUP(D17,GBOC!$E$7:$DG$29,$C$28,0)</f>
        <v>1</v>
      </c>
      <c r="L17" s="136">
        <f>VLOOKUP(D17,GBOC!$E$7:$DG$29,$C$29,0)</f>
        <v>30</v>
      </c>
      <c r="M17" s="136">
        <f>VLOOKUP(D17,GBOC!$E$7:$DG$29,$C$30,0)</f>
        <v>8</v>
      </c>
      <c r="N17" s="136">
        <f>VLOOKUP(D17,GBOC!$E$7:$DG$29,$C$31,0)</f>
        <v>4</v>
      </c>
      <c r="O17" s="136">
        <f>VLOOKUP(D17,GBOC!$E$7:$DG$29,$C$32,0)</f>
        <v>4</v>
      </c>
      <c r="P17" s="110">
        <v>0.97</v>
      </c>
      <c r="Q17" s="136">
        <f>VLOOKUP(D17,GBOC!$E$7:$DG$29,$C$34,0)</f>
        <v>2</v>
      </c>
      <c r="R17" s="136">
        <f>VLOOKUP(D17,GBOC!$E$7:$DG$29,$C$36,0)</f>
        <v>1</v>
      </c>
      <c r="S17" s="136">
        <f>VLOOKUP(D17,GBOC!$E$7:$DG$29,$C$37,0)</f>
        <v>0</v>
      </c>
      <c r="T17" s="99"/>
    </row>
    <row r="18" spans="1:20" ht="21.5" customHeight="1" x14ac:dyDescent="0.45">
      <c r="A18" s="130">
        <v>13</v>
      </c>
      <c r="B18" s="109" t="s">
        <v>30</v>
      </c>
      <c r="C18" s="111" t="s">
        <v>116</v>
      </c>
      <c r="D18" s="122" t="s">
        <v>117</v>
      </c>
      <c r="E18" s="112" t="s">
        <v>128</v>
      </c>
      <c r="F18" s="136">
        <f>VLOOKUP(D18,GBOC!$E$7:$DG$29,$C$23,0)</f>
        <v>8</v>
      </c>
      <c r="G18" s="136">
        <f>VLOOKUP(D18,GBOC!$E$7:$DG$29,$C$24,0)</f>
        <v>4</v>
      </c>
      <c r="H18" s="136">
        <f>VLOOKUP(D18,GBOC!$E$7:$DG$29,$C$25,0)</f>
        <v>5</v>
      </c>
      <c r="I18" s="136">
        <f>VLOOKUP(D18,GBOC!$E$7:$DG$29,$C$26,0)</f>
        <v>5</v>
      </c>
      <c r="J18" s="136">
        <f>VLOOKUP(D18,GBOC!$E$7:$DG$29,$C$27,0)</f>
        <v>4</v>
      </c>
      <c r="K18" s="136">
        <f>VLOOKUP(D18,GBOC!$E$7:$DG$29,$C$28,0)</f>
        <v>1</v>
      </c>
      <c r="L18" s="136">
        <f>VLOOKUP(D18,GBOC!$E$7:$DG$29,$C$29,0)</f>
        <v>30</v>
      </c>
      <c r="M18" s="136">
        <f>VLOOKUP(D18,GBOC!$E$7:$DG$29,$C$30,0)</f>
        <v>9</v>
      </c>
      <c r="N18" s="136">
        <f>VLOOKUP(D18,GBOC!$E$7:$DG$29,$C$31,0)</f>
        <v>4</v>
      </c>
      <c r="O18" s="136">
        <f>VLOOKUP(D18,GBOC!$E$7:$DG$29,$C$32,0)</f>
        <v>5</v>
      </c>
      <c r="P18" s="110">
        <v>0.97</v>
      </c>
      <c r="Q18" s="136">
        <f>VLOOKUP(D18,GBOC!$E$7:$DG$29,$C$34,0)</f>
        <v>3</v>
      </c>
      <c r="R18" s="136">
        <f>VLOOKUP(D18,GBOC!$E$7:$DG$29,$C$36,0)</f>
        <v>1</v>
      </c>
      <c r="S18" s="136">
        <f>VLOOKUP(D18,GBOC!$E$7:$DG$29,$C$37,0)</f>
        <v>0</v>
      </c>
      <c r="T18" s="99"/>
    </row>
    <row r="19" spans="1:20" ht="21.5" customHeight="1" x14ac:dyDescent="0.45">
      <c r="A19" s="130">
        <v>14</v>
      </c>
      <c r="B19" s="109" t="s">
        <v>19</v>
      </c>
      <c r="C19" s="111" t="s">
        <v>118</v>
      </c>
      <c r="D19" s="122" t="s">
        <v>119</v>
      </c>
      <c r="E19" s="108" t="s">
        <v>129</v>
      </c>
      <c r="F19" s="136">
        <f>VLOOKUP(D19,GBOC!$E$7:$DG$29,$C$23,0)</f>
        <v>7</v>
      </c>
      <c r="G19" s="136">
        <f>VLOOKUP(D19,GBOC!$E$7:$DG$29,$C$24,0)</f>
        <v>4</v>
      </c>
      <c r="H19" s="136">
        <f>VLOOKUP(D19,GBOC!$E$7:$DG$29,$C$25,0)</f>
        <v>5</v>
      </c>
      <c r="I19" s="136">
        <f>VLOOKUP(D19,GBOC!$E$7:$DG$29,$C$26,0)</f>
        <v>4</v>
      </c>
      <c r="J19" s="136">
        <f>VLOOKUP(D19,GBOC!$E$7:$DG$29,$C$27,0)</f>
        <v>4</v>
      </c>
      <c r="K19" s="136">
        <f>VLOOKUP(D19,GBOC!$E$7:$DG$29,$C$28,0)</f>
        <v>1</v>
      </c>
      <c r="L19" s="136">
        <f>VLOOKUP(D19,GBOC!$E$7:$DG$29,$C$29,0)</f>
        <v>60</v>
      </c>
      <c r="M19" s="136">
        <f>VLOOKUP(D19,GBOC!$E$7:$DG$29,$C$30,0)</f>
        <v>8</v>
      </c>
      <c r="N19" s="136">
        <f>VLOOKUP(D19,GBOC!$E$7:$DG$29,$C$31,0)</f>
        <v>4</v>
      </c>
      <c r="O19" s="136">
        <f>VLOOKUP(D19,GBOC!$E$7:$DG$29,$C$32,0)</f>
        <v>5</v>
      </c>
      <c r="P19" s="110">
        <v>0.97</v>
      </c>
      <c r="Q19" s="136">
        <f>VLOOKUP(D19,GBOC!$E$7:$DG$29,$C$34,0)</f>
        <v>3</v>
      </c>
      <c r="R19" s="136">
        <f>VLOOKUP(D19,GBOC!$E$7:$DG$29,$C$36,0)</f>
        <v>1</v>
      </c>
      <c r="S19" s="136">
        <f>VLOOKUP(D19,GBOC!$E$7:$DG$29,$C$37,0)</f>
        <v>0</v>
      </c>
      <c r="T19" s="99"/>
    </row>
    <row r="20" spans="1:20" s="1" customFormat="1" ht="21.5" customHeight="1" x14ac:dyDescent="0.45">
      <c r="A20" s="130">
        <v>15</v>
      </c>
      <c r="B20" s="109" t="s">
        <v>33</v>
      </c>
      <c r="C20" s="111" t="s">
        <v>120</v>
      </c>
      <c r="D20" s="122" t="s">
        <v>121</v>
      </c>
      <c r="E20" s="107" t="s">
        <v>179</v>
      </c>
      <c r="F20" s="136">
        <f>VLOOKUP(D20,GBOC!$E$7:$DG$29,$C$23,0)</f>
        <v>3</v>
      </c>
      <c r="G20" s="136">
        <f>VLOOKUP(D20,GBOC!$E$7:$DG$29,$C$24,0)</f>
        <v>2</v>
      </c>
      <c r="H20" s="136">
        <f>VLOOKUP(D20,GBOC!$E$7:$DG$29,$C$25,0)</f>
        <v>2</v>
      </c>
      <c r="I20" s="136">
        <f>VLOOKUP(D20,GBOC!$E$7:$DG$29,$C$26,0)</f>
        <v>3</v>
      </c>
      <c r="J20" s="136">
        <f>VLOOKUP(D20,GBOC!$E$7:$DG$29,$C$27,0)</f>
        <v>3</v>
      </c>
      <c r="K20" s="136">
        <f>VLOOKUP(D20,GBOC!$E$7:$DG$29,$C$28,0)</f>
        <v>1</v>
      </c>
      <c r="L20" s="136">
        <f>VLOOKUP(D20,GBOC!$E$7:$DG$29,$C$29,0)</f>
        <v>14</v>
      </c>
      <c r="M20" s="136">
        <f>VLOOKUP(D20,GBOC!$E$7:$DG$29,$C$30,0)</f>
        <v>5</v>
      </c>
      <c r="N20" s="136">
        <f>VLOOKUP(D20,GBOC!$E$7:$DG$29,$C$31,0)</f>
        <v>3</v>
      </c>
      <c r="O20" s="136">
        <f>VLOOKUP(D20,GBOC!$E$7:$DG$29,$C$32,0)</f>
        <v>3</v>
      </c>
      <c r="P20" s="110">
        <v>0.97</v>
      </c>
      <c r="Q20" s="136">
        <f>VLOOKUP(D20,GBOC!$E$7:$DG$29,$C$34,0)</f>
        <v>1</v>
      </c>
      <c r="R20" s="136">
        <f>VLOOKUP(D20,GBOC!$E$7:$DG$29,$C$36,0)</f>
        <v>1</v>
      </c>
      <c r="S20" s="136">
        <f>VLOOKUP(D20,GBOC!$E$7:$DG$29,$C$37,0)</f>
        <v>0</v>
      </c>
      <c r="T20" s="99"/>
    </row>
    <row r="23" spans="1:20" ht="19.25" customHeight="1" x14ac:dyDescent="0.45">
      <c r="A23" s="118" t="s">
        <v>3</v>
      </c>
      <c r="B23" s="115" t="s">
        <v>264</v>
      </c>
      <c r="C23" s="115">
        <f t="shared" ref="C23:C32" si="0">B23-2</f>
        <v>5</v>
      </c>
    </row>
    <row r="24" spans="1:20" ht="19.25" customHeight="1" x14ac:dyDescent="0.45">
      <c r="A24" s="118" t="s">
        <v>40</v>
      </c>
      <c r="B24" s="116">
        <v>15</v>
      </c>
      <c r="C24" s="115">
        <f t="shared" si="0"/>
        <v>13</v>
      </c>
    </row>
    <row r="25" spans="1:20" ht="30" customHeight="1" x14ac:dyDescent="0.45">
      <c r="A25" s="118" t="s">
        <v>41</v>
      </c>
      <c r="B25" s="116">
        <v>55</v>
      </c>
      <c r="C25" s="115">
        <f t="shared" si="0"/>
        <v>53</v>
      </c>
    </row>
    <row r="26" spans="1:20" ht="19.25" customHeight="1" x14ac:dyDescent="0.45">
      <c r="A26" s="23" t="s">
        <v>42</v>
      </c>
      <c r="B26" s="116">
        <v>87</v>
      </c>
      <c r="C26" s="115">
        <f t="shared" si="0"/>
        <v>85</v>
      </c>
    </row>
    <row r="27" spans="1:20" ht="19.25" customHeight="1" x14ac:dyDescent="0.45">
      <c r="A27" s="119" t="s">
        <v>43</v>
      </c>
      <c r="B27" s="117">
        <v>95</v>
      </c>
      <c r="C27" s="115">
        <f t="shared" si="0"/>
        <v>93</v>
      </c>
    </row>
    <row r="28" spans="1:20" ht="19.25" customHeight="1" x14ac:dyDescent="0.45">
      <c r="A28" s="119" t="s">
        <v>45</v>
      </c>
      <c r="B28" s="114">
        <v>103</v>
      </c>
      <c r="C28" s="115">
        <f t="shared" si="0"/>
        <v>101</v>
      </c>
    </row>
    <row r="29" spans="1:20" ht="19.25" customHeight="1" x14ac:dyDescent="0.45">
      <c r="A29" s="119" t="s">
        <v>47</v>
      </c>
      <c r="B29" s="114">
        <v>47</v>
      </c>
      <c r="C29" s="115">
        <f t="shared" si="0"/>
        <v>45</v>
      </c>
    </row>
    <row r="30" spans="1:20" ht="19.25" customHeight="1" x14ac:dyDescent="0.45">
      <c r="A30" s="119" t="s">
        <v>48</v>
      </c>
      <c r="B30" s="114">
        <v>79</v>
      </c>
      <c r="C30" s="115">
        <f t="shared" si="0"/>
        <v>77</v>
      </c>
    </row>
    <row r="31" spans="1:20" ht="19.25" customHeight="1" x14ac:dyDescent="0.45">
      <c r="A31" s="114" t="s">
        <v>51</v>
      </c>
      <c r="B31" s="114">
        <v>39</v>
      </c>
      <c r="C31" s="115">
        <f t="shared" si="0"/>
        <v>37</v>
      </c>
    </row>
    <row r="32" spans="1:20" ht="19.25" customHeight="1" x14ac:dyDescent="0.45">
      <c r="A32" s="114" t="s">
        <v>14</v>
      </c>
      <c r="B32" s="114">
        <v>31</v>
      </c>
      <c r="C32" s="115">
        <f t="shared" si="0"/>
        <v>29</v>
      </c>
    </row>
    <row r="33" spans="1:3" ht="19.25" customHeight="1" x14ac:dyDescent="0.45">
      <c r="A33" s="114" t="s">
        <v>52</v>
      </c>
      <c r="B33" s="114"/>
      <c r="C33" s="115"/>
    </row>
    <row r="34" spans="1:3" ht="19.25" customHeight="1" x14ac:dyDescent="0.45">
      <c r="A34" s="114" t="s">
        <v>16</v>
      </c>
      <c r="B34" s="114">
        <v>23</v>
      </c>
      <c r="C34" s="115">
        <f>B34-2</f>
        <v>21</v>
      </c>
    </row>
    <row r="35" spans="1:3" ht="19.25" customHeight="1" x14ac:dyDescent="0.45">
      <c r="A35" s="114" t="s">
        <v>53</v>
      </c>
      <c r="B35" s="114"/>
      <c r="C35" s="115"/>
    </row>
    <row r="36" spans="1:3" ht="19.25" customHeight="1" x14ac:dyDescent="0.45">
      <c r="A36" s="114" t="s">
        <v>54</v>
      </c>
      <c r="B36" s="114">
        <v>71</v>
      </c>
      <c r="C36" s="115">
        <f>B36-2</f>
        <v>69</v>
      </c>
    </row>
    <row r="37" spans="1:3" ht="19.25" customHeight="1" x14ac:dyDescent="0.45">
      <c r="A37" s="114" t="s">
        <v>55</v>
      </c>
      <c r="B37" s="114">
        <v>63</v>
      </c>
      <c r="C37" s="115">
        <f>B37-2</f>
        <v>61</v>
      </c>
    </row>
  </sheetData>
  <mergeCells count="16">
    <mergeCell ref="N3:N4"/>
    <mergeCell ref="S3:S4"/>
    <mergeCell ref="O3:O4"/>
    <mergeCell ref="P3:P4"/>
    <mergeCell ref="Q3:Q4"/>
    <mergeCell ref="R3:R4"/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49" t="s">
        <v>204</v>
      </c>
      <c r="B1" s="249" t="s">
        <v>168</v>
      </c>
      <c r="C1" s="249" t="s">
        <v>169</v>
      </c>
      <c r="D1" s="251" t="s">
        <v>1</v>
      </c>
      <c r="E1" s="251" t="s">
        <v>205</v>
      </c>
      <c r="F1" s="251" t="s">
        <v>206</v>
      </c>
    </row>
    <row r="2" spans="1:6" x14ac:dyDescent="0.45">
      <c r="A2" s="250"/>
      <c r="B2" s="250"/>
      <c r="C2" s="250"/>
      <c r="D2" s="252"/>
      <c r="E2" s="252"/>
      <c r="F2" s="252"/>
    </row>
    <row r="3" spans="1:6" s="1" customFormat="1" ht="15.4" x14ac:dyDescent="0.45">
      <c r="A3" s="149" t="s">
        <v>66</v>
      </c>
      <c r="B3" s="149" t="s">
        <v>199</v>
      </c>
      <c r="C3" s="149" t="s">
        <v>128</v>
      </c>
      <c r="D3" s="150">
        <v>15</v>
      </c>
      <c r="E3" s="151">
        <v>18</v>
      </c>
      <c r="F3" s="152">
        <v>1.2</v>
      </c>
    </row>
    <row r="4" spans="1:6" ht="15.4" x14ac:dyDescent="0.45">
      <c r="A4" s="149" t="s">
        <v>68</v>
      </c>
      <c r="B4" s="149" t="s">
        <v>178</v>
      </c>
      <c r="C4" s="149" t="s">
        <v>179</v>
      </c>
      <c r="D4" s="150">
        <v>15</v>
      </c>
      <c r="E4" s="151">
        <v>20</v>
      </c>
      <c r="F4" s="152">
        <v>1.3333333333333333</v>
      </c>
    </row>
    <row r="5" spans="1:6" ht="15.4" x14ac:dyDescent="0.45">
      <c r="A5" s="149" t="s">
        <v>71</v>
      </c>
      <c r="B5" s="149" t="s">
        <v>180</v>
      </c>
      <c r="C5" s="149" t="s">
        <v>129</v>
      </c>
      <c r="D5" s="150">
        <v>15</v>
      </c>
      <c r="E5" s="151">
        <v>7</v>
      </c>
      <c r="F5" s="152">
        <v>0.46666666666666667</v>
      </c>
    </row>
    <row r="6" spans="1:6" ht="15.4" x14ac:dyDescent="0.45">
      <c r="A6" s="149" t="s">
        <v>74</v>
      </c>
      <c r="B6" s="149" t="s">
        <v>181</v>
      </c>
      <c r="C6" s="149" t="s">
        <v>129</v>
      </c>
      <c r="D6" s="150">
        <v>15</v>
      </c>
      <c r="E6" s="151">
        <v>10</v>
      </c>
      <c r="F6" s="152">
        <v>0.66666666666666663</v>
      </c>
    </row>
    <row r="7" spans="1:6" ht="15.4" x14ac:dyDescent="0.45">
      <c r="A7" s="149" t="s">
        <v>77</v>
      </c>
      <c r="B7" s="149" t="s">
        <v>182</v>
      </c>
      <c r="C7" s="149" t="s">
        <v>129</v>
      </c>
      <c r="D7" s="150">
        <v>9</v>
      </c>
      <c r="E7" s="151">
        <v>2</v>
      </c>
      <c r="F7" s="152">
        <v>0.22222222222222221</v>
      </c>
    </row>
    <row r="8" spans="1:6" ht="15.4" x14ac:dyDescent="0.45">
      <c r="A8" s="149" t="s">
        <v>80</v>
      </c>
      <c r="B8" s="149" t="s">
        <v>183</v>
      </c>
      <c r="C8" s="149" t="s">
        <v>179</v>
      </c>
      <c r="D8" s="150">
        <v>15</v>
      </c>
      <c r="E8" s="151">
        <v>14</v>
      </c>
      <c r="F8" s="152">
        <v>0.93333333333333335</v>
      </c>
    </row>
    <row r="9" spans="1:6" ht="15.4" x14ac:dyDescent="0.45">
      <c r="A9" s="149" t="s">
        <v>83</v>
      </c>
      <c r="B9" s="149" t="s">
        <v>184</v>
      </c>
      <c r="C9" s="149" t="s">
        <v>129</v>
      </c>
      <c r="D9" s="150">
        <v>9</v>
      </c>
      <c r="E9" s="151">
        <v>3</v>
      </c>
      <c r="F9" s="152">
        <v>0.33333333333333331</v>
      </c>
    </row>
    <row r="10" spans="1:6" ht="15.4" x14ac:dyDescent="0.45">
      <c r="A10" s="149" t="s">
        <v>86</v>
      </c>
      <c r="B10" s="149" t="s">
        <v>185</v>
      </c>
      <c r="C10" s="149" t="s">
        <v>128</v>
      </c>
      <c r="D10" s="150">
        <v>13</v>
      </c>
      <c r="E10" s="151">
        <v>7</v>
      </c>
      <c r="F10" s="152">
        <v>0.53846153846153844</v>
      </c>
    </row>
    <row r="11" spans="1:6" ht="15.4" x14ac:dyDescent="0.45">
      <c r="A11" s="149" t="s">
        <v>89</v>
      </c>
      <c r="B11" s="149" t="s">
        <v>186</v>
      </c>
      <c r="C11" s="149" t="s">
        <v>179</v>
      </c>
      <c r="D11" s="150">
        <v>20</v>
      </c>
      <c r="E11" s="151">
        <v>35</v>
      </c>
      <c r="F11" s="152">
        <v>1.75</v>
      </c>
    </row>
    <row r="12" spans="1:6" ht="15.4" x14ac:dyDescent="0.45">
      <c r="A12" s="149" t="s">
        <v>92</v>
      </c>
      <c r="B12" s="149" t="s">
        <v>187</v>
      </c>
      <c r="C12" s="149" t="s">
        <v>128</v>
      </c>
      <c r="D12" s="150">
        <v>13</v>
      </c>
      <c r="E12" s="151">
        <v>12</v>
      </c>
      <c r="F12" s="152">
        <v>0.92307692307692313</v>
      </c>
    </row>
    <row r="13" spans="1:6" ht="15.4" x14ac:dyDescent="0.45">
      <c r="A13" s="149" t="s">
        <v>98</v>
      </c>
      <c r="B13" s="149" t="s">
        <v>188</v>
      </c>
      <c r="C13" s="149" t="s">
        <v>128</v>
      </c>
      <c r="D13" s="150">
        <v>13</v>
      </c>
      <c r="E13" s="151">
        <v>15</v>
      </c>
      <c r="F13" s="152">
        <v>1.1538461538461537</v>
      </c>
    </row>
    <row r="14" spans="1:6" ht="15.4" x14ac:dyDescent="0.45">
      <c r="A14" s="149" t="s">
        <v>101</v>
      </c>
      <c r="B14" s="149" t="s">
        <v>189</v>
      </c>
      <c r="C14" s="149" t="s">
        <v>179</v>
      </c>
      <c r="D14" s="150">
        <v>15</v>
      </c>
      <c r="E14" s="151">
        <v>18</v>
      </c>
      <c r="F14" s="152">
        <v>1.2</v>
      </c>
    </row>
    <row r="15" spans="1:6" ht="15.4" x14ac:dyDescent="0.45">
      <c r="A15" s="149" t="s">
        <v>104</v>
      </c>
      <c r="B15" s="149" t="s">
        <v>190</v>
      </c>
      <c r="C15" s="149" t="s">
        <v>179</v>
      </c>
      <c r="D15" s="150">
        <v>15</v>
      </c>
      <c r="E15" s="151">
        <v>17</v>
      </c>
      <c r="F15" s="152">
        <v>1.1333333333333333</v>
      </c>
    </row>
    <row r="16" spans="1:6" ht="15.4" x14ac:dyDescent="0.45">
      <c r="A16" s="149" t="s">
        <v>106</v>
      </c>
      <c r="B16" s="149" t="s">
        <v>191</v>
      </c>
      <c r="C16" s="149" t="s">
        <v>129</v>
      </c>
      <c r="D16" s="150">
        <v>15</v>
      </c>
      <c r="E16" s="151">
        <v>17</v>
      </c>
      <c r="F16" s="152">
        <v>1.1333333333333333</v>
      </c>
    </row>
    <row r="17" spans="1:6" ht="15.4" x14ac:dyDescent="0.45">
      <c r="A17" s="149" t="s">
        <v>109</v>
      </c>
      <c r="B17" s="149" t="s">
        <v>192</v>
      </c>
      <c r="C17" s="149" t="s">
        <v>128</v>
      </c>
      <c r="D17" s="150">
        <v>13</v>
      </c>
      <c r="E17" s="151">
        <v>5</v>
      </c>
      <c r="F17" s="152">
        <v>0.38461538461538464</v>
      </c>
    </row>
    <row r="18" spans="1:6" ht="15.4" x14ac:dyDescent="0.45">
      <c r="A18" s="149" t="s">
        <v>112</v>
      </c>
      <c r="B18" s="149" t="s">
        <v>193</v>
      </c>
      <c r="C18" s="149" t="s">
        <v>129</v>
      </c>
      <c r="D18" s="150">
        <v>15</v>
      </c>
      <c r="E18" s="151">
        <v>7</v>
      </c>
      <c r="F18" s="152">
        <v>0.46666666666666667</v>
      </c>
    </row>
    <row r="19" spans="1:6" ht="15.4" x14ac:dyDescent="0.45">
      <c r="A19" s="149" t="s">
        <v>114</v>
      </c>
      <c r="B19" s="149" t="s">
        <v>194</v>
      </c>
      <c r="C19" s="149" t="s">
        <v>179</v>
      </c>
      <c r="D19" s="150">
        <v>13</v>
      </c>
      <c r="E19" s="151">
        <v>9</v>
      </c>
      <c r="F19" s="152">
        <v>0.69230769230769229</v>
      </c>
    </row>
    <row r="20" spans="1:6" ht="15.4" x14ac:dyDescent="0.45">
      <c r="A20" s="149" t="s">
        <v>116</v>
      </c>
      <c r="B20" s="149" t="s">
        <v>195</v>
      </c>
      <c r="C20" s="149" t="s">
        <v>129</v>
      </c>
      <c r="D20" s="150">
        <v>15</v>
      </c>
      <c r="E20" s="151">
        <v>18</v>
      </c>
      <c r="F20" s="152">
        <v>1.2</v>
      </c>
    </row>
    <row r="21" spans="1:6" ht="15.4" x14ac:dyDescent="0.45">
      <c r="A21" s="149" t="s">
        <v>118</v>
      </c>
      <c r="B21" s="149" t="s">
        <v>196</v>
      </c>
      <c r="C21" s="149" t="s">
        <v>129</v>
      </c>
      <c r="D21" s="150">
        <v>15</v>
      </c>
      <c r="E21" s="151">
        <v>16</v>
      </c>
      <c r="F21" s="152">
        <v>1.0666666666666667</v>
      </c>
    </row>
    <row r="22" spans="1:6" ht="15.4" x14ac:dyDescent="0.45">
      <c r="A22" s="149" t="s">
        <v>120</v>
      </c>
      <c r="B22" s="149" t="s">
        <v>197</v>
      </c>
      <c r="C22" s="149" t="s">
        <v>179</v>
      </c>
      <c r="D22" s="150">
        <v>15</v>
      </c>
      <c r="E22" s="151">
        <v>16</v>
      </c>
      <c r="F22" s="152">
        <v>1.0666666666666667</v>
      </c>
    </row>
    <row r="23" spans="1:6" ht="15.4" x14ac:dyDescent="0.45">
      <c r="A23" s="149" t="s">
        <v>122</v>
      </c>
      <c r="B23" s="149" t="s">
        <v>198</v>
      </c>
      <c r="C23" s="149" t="s">
        <v>179</v>
      </c>
      <c r="D23" s="150">
        <v>3</v>
      </c>
      <c r="E23" s="151">
        <v>7</v>
      </c>
      <c r="F23" s="152">
        <v>2.3333333333333335</v>
      </c>
    </row>
    <row r="24" spans="1:6" s="1" customFormat="1" ht="15.4" x14ac:dyDescent="0.45">
      <c r="A24" s="109" t="s">
        <v>63</v>
      </c>
      <c r="B24" s="122" t="s">
        <v>64</v>
      </c>
      <c r="C24" s="145" t="s">
        <v>129</v>
      </c>
      <c r="D24" s="125">
        <v>0</v>
      </c>
      <c r="E24" s="148">
        <v>0</v>
      </c>
      <c r="F24" s="146"/>
    </row>
    <row r="25" spans="1:6" s="1" customFormat="1" ht="15.4" x14ac:dyDescent="0.45">
      <c r="A25" s="111" t="s">
        <v>95</v>
      </c>
      <c r="B25" s="122" t="s">
        <v>96</v>
      </c>
      <c r="C25" s="145" t="s">
        <v>128</v>
      </c>
      <c r="D25" s="123">
        <v>0</v>
      </c>
      <c r="E25" s="1">
        <v>0</v>
      </c>
      <c r="F25" s="146">
        <f>D25-E25</f>
        <v>0</v>
      </c>
    </row>
    <row r="26" spans="1:6" ht="15.4" x14ac:dyDescent="0.45">
      <c r="A26" s="111" t="s">
        <v>207</v>
      </c>
      <c r="B26" s="147"/>
      <c r="C26" s="147"/>
      <c r="D26" s="123">
        <v>13</v>
      </c>
      <c r="E26" s="1">
        <v>18</v>
      </c>
      <c r="F26" s="146">
        <f>D26-E26</f>
        <v>-5</v>
      </c>
    </row>
    <row r="29" spans="1:6" x14ac:dyDescent="0.45">
      <c r="A29" s="124"/>
      <c r="B29" s="124"/>
      <c r="C29" s="124"/>
      <c r="D29" s="132"/>
      <c r="E29" s="37"/>
      <c r="F29" s="37"/>
    </row>
    <row r="30" spans="1:6" x14ac:dyDescent="0.45">
      <c r="A30" s="124"/>
      <c r="B30" s="124"/>
      <c r="C30" s="124"/>
      <c r="D30" s="132"/>
      <c r="E30" s="37"/>
      <c r="F30" s="37"/>
    </row>
    <row r="31" spans="1:6" x14ac:dyDescent="0.45">
      <c r="A31" s="124"/>
      <c r="B31" s="124"/>
      <c r="C31" s="124"/>
      <c r="D31" s="132"/>
      <c r="E31" s="37"/>
      <c r="F31" s="37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18"/>
  <sheetViews>
    <sheetView topLeftCell="B1" zoomScale="90" zoomScaleNormal="90" workbookViewId="0">
      <selection activeCell="L15" sqref="L15"/>
    </sheetView>
  </sheetViews>
  <sheetFormatPr defaultColWidth="9" defaultRowHeight="14.25" x14ac:dyDescent="0.45"/>
  <cols>
    <col min="1" max="1" width="27" customWidth="1"/>
    <col min="2" max="2" width="28.796875" customWidth="1"/>
  </cols>
  <sheetData>
    <row r="1" spans="1:16" ht="20" customHeight="1" x14ac:dyDescent="0.45">
      <c r="B1" s="7"/>
      <c r="C1" s="83" t="s">
        <v>208</v>
      </c>
      <c r="D1" s="83" t="s">
        <v>209</v>
      </c>
      <c r="E1" s="83" t="s">
        <v>210</v>
      </c>
      <c r="F1" s="83" t="s">
        <v>211</v>
      </c>
      <c r="G1" s="84" t="s">
        <v>212</v>
      </c>
      <c r="H1" s="84" t="s">
        <v>213</v>
      </c>
      <c r="I1" s="83" t="s">
        <v>214</v>
      </c>
      <c r="J1" s="85" t="s">
        <v>215</v>
      </c>
      <c r="K1" s="38" t="s">
        <v>216</v>
      </c>
      <c r="L1" s="38" t="s">
        <v>217</v>
      </c>
      <c r="M1" s="38" t="s">
        <v>218</v>
      </c>
      <c r="N1" s="38" t="s">
        <v>219</v>
      </c>
      <c r="O1" s="38" t="s">
        <v>220</v>
      </c>
      <c r="P1" s="38" t="s">
        <v>221</v>
      </c>
    </row>
    <row r="2" spans="1:16" ht="22.25" customHeight="1" x14ac:dyDescent="0.45">
      <c r="A2" s="35" t="s">
        <v>222</v>
      </c>
      <c r="B2" s="34" t="s">
        <v>223</v>
      </c>
      <c r="C2" s="76">
        <v>1.0700860753766832</v>
      </c>
      <c r="D2" s="76">
        <v>1.0900000000000001</v>
      </c>
      <c r="E2" s="48">
        <v>1.1343980473949962</v>
      </c>
      <c r="F2" s="77">
        <f t="shared" ref="F2:F14" si="0">AVERAGE(C2:E2)</f>
        <v>1.0981613742572265</v>
      </c>
      <c r="G2" s="79">
        <v>1.044</v>
      </c>
      <c r="H2" s="79">
        <v>1.2050000000000001</v>
      </c>
      <c r="I2" s="80">
        <v>1.0854020533200861</v>
      </c>
      <c r="J2" s="81">
        <f t="shared" ref="J2:J17" si="1">AVERAGE(G2:I2)</f>
        <v>1.1114673511066953</v>
      </c>
      <c r="K2" s="7"/>
      <c r="L2" s="7"/>
      <c r="M2" s="7"/>
      <c r="N2" s="7"/>
      <c r="O2" s="7"/>
      <c r="P2" s="7"/>
    </row>
    <row r="3" spans="1:16" ht="22.25" customHeight="1" x14ac:dyDescent="0.45">
      <c r="A3" s="35" t="s">
        <v>224</v>
      </c>
      <c r="B3" s="34" t="s">
        <v>70</v>
      </c>
      <c r="C3" s="76">
        <v>1.2004136361731093</v>
      </c>
      <c r="D3" s="76">
        <v>1.1599999999999999</v>
      </c>
      <c r="E3" s="48">
        <v>1.2141060071047474</v>
      </c>
      <c r="F3" s="77">
        <f t="shared" si="0"/>
        <v>1.1915065477592854</v>
      </c>
      <c r="G3" s="79">
        <v>1.151</v>
      </c>
      <c r="H3" s="79">
        <v>1.2024999999999999</v>
      </c>
      <c r="I3" s="80">
        <v>1.2106652681390924</v>
      </c>
      <c r="J3" s="81">
        <f t="shared" si="1"/>
        <v>1.1880550893796975</v>
      </c>
      <c r="K3" s="7"/>
      <c r="L3" s="7"/>
      <c r="M3" s="7"/>
      <c r="N3" s="7"/>
      <c r="O3" s="7"/>
      <c r="P3" s="7"/>
    </row>
    <row r="4" spans="1:16" ht="22.25" customHeight="1" x14ac:dyDescent="0.45">
      <c r="A4" s="36" t="s">
        <v>225</v>
      </c>
      <c r="B4" s="34" t="s">
        <v>73</v>
      </c>
      <c r="C4" s="76">
        <v>1.0876801556307152</v>
      </c>
      <c r="D4" s="76">
        <v>1.08</v>
      </c>
      <c r="E4" s="48">
        <v>1.0869332611832609</v>
      </c>
      <c r="F4" s="77">
        <f t="shared" si="0"/>
        <v>1.0848711389379921</v>
      </c>
      <c r="G4" s="79">
        <v>1.004</v>
      </c>
      <c r="H4" s="79">
        <v>1.0940000000000001</v>
      </c>
      <c r="I4" s="80">
        <v>1.0218277974692627</v>
      </c>
      <c r="J4" s="81">
        <f t="shared" si="1"/>
        <v>1.0399425991564208</v>
      </c>
      <c r="K4" s="7"/>
      <c r="L4" s="7"/>
      <c r="M4" s="7"/>
      <c r="N4" s="7"/>
      <c r="O4" s="7"/>
      <c r="P4" s="7"/>
    </row>
    <row r="5" spans="1:16" ht="22.25" customHeight="1" x14ac:dyDescent="0.45">
      <c r="A5" s="35" t="s">
        <v>226</v>
      </c>
      <c r="B5" s="34" t="s">
        <v>76</v>
      </c>
      <c r="C5" s="76">
        <v>1.0719238865362244</v>
      </c>
      <c r="D5" s="76">
        <v>0.93</v>
      </c>
      <c r="E5" s="48">
        <v>0.98146033868092675</v>
      </c>
      <c r="F5" s="77">
        <f t="shared" si="0"/>
        <v>0.99446140840571706</v>
      </c>
      <c r="G5" s="79">
        <v>0.93200000000000005</v>
      </c>
      <c r="H5" s="79">
        <v>1.073</v>
      </c>
      <c r="I5" s="80">
        <v>0.91284144725948013</v>
      </c>
      <c r="J5" s="81">
        <f t="shared" si="1"/>
        <v>0.97261381575316008</v>
      </c>
      <c r="K5" s="7"/>
      <c r="L5" s="7"/>
      <c r="M5" s="7"/>
      <c r="N5" s="7"/>
      <c r="O5" s="7"/>
      <c r="P5" s="7"/>
    </row>
    <row r="6" spans="1:16" ht="22.25" customHeight="1" x14ac:dyDescent="0.45">
      <c r="A6" s="35" t="s">
        <v>227</v>
      </c>
      <c r="B6" s="34" t="s">
        <v>228</v>
      </c>
      <c r="C6" s="76">
        <v>1.09275962133105</v>
      </c>
      <c r="D6" s="76">
        <v>0.89</v>
      </c>
      <c r="E6" s="48">
        <v>0.91298809523809521</v>
      </c>
      <c r="F6" s="77">
        <f t="shared" si="0"/>
        <v>0.9652492388563817</v>
      </c>
      <c r="G6" s="79">
        <v>1.1020000000000001</v>
      </c>
      <c r="H6" s="79">
        <v>1.131</v>
      </c>
      <c r="I6" s="80">
        <v>1.0536642515684915</v>
      </c>
      <c r="J6" s="81">
        <f t="shared" si="1"/>
        <v>1.0955547505228305</v>
      </c>
      <c r="K6" s="7"/>
      <c r="L6" s="7"/>
      <c r="M6" s="7"/>
      <c r="N6" s="7"/>
      <c r="O6" s="7"/>
      <c r="P6" s="7"/>
    </row>
    <row r="7" spans="1:16" ht="22.25" customHeight="1" x14ac:dyDescent="0.45">
      <c r="A7" s="36" t="s">
        <v>229</v>
      </c>
      <c r="B7" s="34" t="s">
        <v>82</v>
      </c>
      <c r="C7" s="76">
        <v>1.0884274315834424</v>
      </c>
      <c r="D7" s="76">
        <v>0.87</v>
      </c>
      <c r="E7" s="48">
        <v>0.96374753299170868</v>
      </c>
      <c r="F7" s="77">
        <f t="shared" si="0"/>
        <v>0.97405832152505034</v>
      </c>
      <c r="G7" s="79">
        <v>1.0149999999999999</v>
      </c>
      <c r="H7" s="79">
        <v>1.087</v>
      </c>
      <c r="I7" s="80">
        <v>0.95285154826958074</v>
      </c>
      <c r="J7" s="81">
        <f t="shared" si="1"/>
        <v>1.0182838494231936</v>
      </c>
      <c r="K7" s="7"/>
      <c r="L7" s="7"/>
      <c r="M7" s="7"/>
      <c r="N7" s="7"/>
      <c r="O7" s="7"/>
      <c r="P7" s="7"/>
    </row>
    <row r="8" spans="1:16" ht="22.25" customHeight="1" x14ac:dyDescent="0.45">
      <c r="A8" s="35" t="s">
        <v>230</v>
      </c>
      <c r="B8" s="34" t="s">
        <v>85</v>
      </c>
      <c r="C8" s="76">
        <v>0.73367557932263816</v>
      </c>
      <c r="D8" s="76">
        <v>0.72</v>
      </c>
      <c r="E8" s="48">
        <v>0.52496103896103896</v>
      </c>
      <c r="F8" s="77">
        <f t="shared" si="0"/>
        <v>0.65954553942789229</v>
      </c>
      <c r="G8" s="79">
        <v>0.85499999999999998</v>
      </c>
      <c r="H8" s="79">
        <v>0.86499999999999999</v>
      </c>
      <c r="I8" s="80">
        <v>0.85219228641831635</v>
      </c>
      <c r="J8" s="81">
        <f t="shared" si="1"/>
        <v>0.85739742880610548</v>
      </c>
      <c r="K8" s="7"/>
      <c r="L8" s="7"/>
      <c r="M8" s="7"/>
      <c r="N8" s="7"/>
      <c r="O8" s="7"/>
      <c r="P8" s="7"/>
    </row>
    <row r="9" spans="1:16" ht="22.25" customHeight="1" x14ac:dyDescent="0.45">
      <c r="A9" s="35" t="s">
        <v>231</v>
      </c>
      <c r="B9" s="34" t="s">
        <v>88</v>
      </c>
      <c r="C9" s="76">
        <v>1.2102244642725695</v>
      </c>
      <c r="D9" s="76">
        <v>1.2</v>
      </c>
      <c r="E9" s="48">
        <v>1.2111616856943557</v>
      </c>
      <c r="F9" s="77">
        <f t="shared" si="0"/>
        <v>1.2071287166556417</v>
      </c>
      <c r="G9" s="79">
        <v>1.0880000000000001</v>
      </c>
      <c r="H9" s="79">
        <v>1.218</v>
      </c>
      <c r="I9" s="80">
        <v>1.1173333333333333</v>
      </c>
      <c r="J9" s="81">
        <f t="shared" si="1"/>
        <v>1.1411111111111112</v>
      </c>
      <c r="K9" s="7"/>
      <c r="L9" s="7"/>
      <c r="M9" s="7"/>
      <c r="N9" s="7"/>
      <c r="O9" s="7"/>
      <c r="P9" s="7"/>
    </row>
    <row r="10" spans="1:16" ht="22.25" customHeight="1" x14ac:dyDescent="0.45">
      <c r="A10" s="35" t="s">
        <v>232</v>
      </c>
      <c r="B10" s="34" t="s">
        <v>91</v>
      </c>
      <c r="C10" s="76">
        <v>1.1761447812150654</v>
      </c>
      <c r="D10" s="76">
        <v>1.18</v>
      </c>
      <c r="E10" s="48">
        <v>1.096174949797476</v>
      </c>
      <c r="F10" s="77">
        <f t="shared" si="0"/>
        <v>1.1507732436708471</v>
      </c>
      <c r="G10" s="79">
        <v>1.0920000000000001</v>
      </c>
      <c r="H10" s="79">
        <v>1.0900000000000001</v>
      </c>
      <c r="I10" s="80">
        <v>1.0489377728853417</v>
      </c>
      <c r="J10" s="81">
        <f t="shared" si="1"/>
        <v>1.0769792576284474</v>
      </c>
      <c r="K10" s="7"/>
      <c r="L10" s="7"/>
      <c r="M10" s="7"/>
      <c r="N10" s="7"/>
      <c r="O10" s="7"/>
      <c r="P10" s="7"/>
    </row>
    <row r="11" spans="1:16" ht="22.25" customHeight="1" x14ac:dyDescent="0.45">
      <c r="A11" s="35" t="s">
        <v>233</v>
      </c>
      <c r="B11" s="34" t="s">
        <v>94</v>
      </c>
      <c r="C11" s="76">
        <v>0.92395474301508518</v>
      </c>
      <c r="D11" s="76">
        <v>0.95</v>
      </c>
      <c r="E11" s="48">
        <v>1.0739999999999998</v>
      </c>
      <c r="F11" s="77">
        <f t="shared" si="0"/>
        <v>0.98265158100502836</v>
      </c>
      <c r="G11" s="79">
        <v>1.0740000000000001</v>
      </c>
      <c r="H11" s="79">
        <v>1.169</v>
      </c>
      <c r="I11" s="80">
        <v>0.97668488160291445</v>
      </c>
      <c r="J11" s="81">
        <f t="shared" si="1"/>
        <v>1.0732282938676383</v>
      </c>
      <c r="K11" s="7"/>
      <c r="L11" s="7"/>
      <c r="M11" s="7"/>
      <c r="N11" s="7"/>
      <c r="O11" s="7"/>
      <c r="P11" s="7"/>
    </row>
    <row r="12" spans="1:16" ht="22.25" customHeight="1" x14ac:dyDescent="0.45">
      <c r="A12" s="36" t="s">
        <v>234</v>
      </c>
      <c r="B12" s="34" t="s">
        <v>97</v>
      </c>
      <c r="C12" s="76">
        <v>0.39538498326159732</v>
      </c>
      <c r="D12" s="76">
        <v>0.36</v>
      </c>
      <c r="E12" s="48">
        <v>0.54423484848484849</v>
      </c>
      <c r="F12" s="77">
        <f t="shared" si="0"/>
        <v>0.4332066105821486</v>
      </c>
      <c r="G12" s="79">
        <v>0.57299999999999995</v>
      </c>
      <c r="H12" s="79">
        <v>0.68600000000000005</v>
      </c>
      <c r="I12" s="80">
        <v>0.67407377049180328</v>
      </c>
      <c r="J12" s="81">
        <f t="shared" si="1"/>
        <v>0.64435792349726773</v>
      </c>
      <c r="K12" s="7"/>
      <c r="L12" s="7"/>
      <c r="M12" s="7"/>
      <c r="N12" s="7"/>
      <c r="O12" s="7"/>
      <c r="P12" s="7"/>
    </row>
    <row r="13" spans="1:16" ht="22.25" customHeight="1" x14ac:dyDescent="0.45">
      <c r="A13" s="36" t="s">
        <v>235</v>
      </c>
      <c r="B13" s="34" t="s">
        <v>100</v>
      </c>
      <c r="C13" s="76">
        <v>0.94433478026781725</v>
      </c>
      <c r="D13" s="76">
        <v>0.8</v>
      </c>
      <c r="E13" s="48">
        <v>1.0352574223835915</v>
      </c>
      <c r="F13" s="77">
        <f t="shared" si="0"/>
        <v>0.92653073421713616</v>
      </c>
      <c r="G13" s="79">
        <v>0.78100000000000003</v>
      </c>
      <c r="H13" s="79">
        <v>0.89500000000000002</v>
      </c>
      <c r="I13" s="80">
        <v>0.5784906096912511</v>
      </c>
      <c r="J13" s="81">
        <f t="shared" si="1"/>
        <v>0.75149686989708375</v>
      </c>
      <c r="K13" s="7"/>
      <c r="L13" s="7"/>
      <c r="M13" s="7"/>
      <c r="N13" s="7"/>
      <c r="O13" s="7"/>
      <c r="P13" s="7"/>
    </row>
    <row r="14" spans="1:16" ht="22.25" customHeight="1" x14ac:dyDescent="0.45">
      <c r="A14" s="35" t="s">
        <v>236</v>
      </c>
      <c r="B14" s="34" t="s">
        <v>103</v>
      </c>
      <c r="C14" s="76">
        <v>1.052406172940983</v>
      </c>
      <c r="D14" s="76">
        <v>1.01</v>
      </c>
      <c r="E14" s="48">
        <v>1.0804884887005288</v>
      </c>
      <c r="F14" s="77">
        <f t="shared" si="0"/>
        <v>1.0476315538805039</v>
      </c>
      <c r="G14" s="79">
        <v>1.069</v>
      </c>
      <c r="H14" s="79">
        <v>1.1399999999999999</v>
      </c>
      <c r="I14" s="80">
        <v>0.96021852711622624</v>
      </c>
      <c r="J14" s="81">
        <f t="shared" si="1"/>
        <v>1.0564061757054086</v>
      </c>
      <c r="K14" s="7"/>
      <c r="L14" s="7"/>
      <c r="M14" s="7"/>
      <c r="N14" s="7"/>
      <c r="O14" s="7"/>
      <c r="P14" s="7"/>
    </row>
    <row r="15" spans="1:16" ht="22.25" customHeight="1" x14ac:dyDescent="0.45">
      <c r="A15" s="35"/>
      <c r="B15" s="34" t="s">
        <v>237</v>
      </c>
      <c r="C15" s="47"/>
      <c r="D15" s="47"/>
      <c r="E15" s="48"/>
      <c r="F15" s="78"/>
      <c r="G15" s="82"/>
      <c r="H15" s="79">
        <v>0.72899999999999998</v>
      </c>
      <c r="I15" s="80">
        <v>0.84507377049180321</v>
      </c>
      <c r="J15" s="81">
        <f t="shared" si="1"/>
        <v>0.78703688524590154</v>
      </c>
      <c r="K15" s="7"/>
      <c r="L15" s="7"/>
      <c r="M15" s="7"/>
      <c r="N15" s="7"/>
      <c r="O15" s="7"/>
      <c r="P15" s="7"/>
    </row>
    <row r="16" spans="1:16" ht="22.25" customHeight="1" x14ac:dyDescent="0.45">
      <c r="A16" s="35" t="s">
        <v>238</v>
      </c>
      <c r="B16" s="34" t="s">
        <v>108</v>
      </c>
      <c r="C16" s="76">
        <v>1.1180109475791953</v>
      </c>
      <c r="D16" s="76">
        <v>1.1299999999999999</v>
      </c>
      <c r="E16" s="48">
        <v>1.1364520157116569</v>
      </c>
      <c r="F16" s="77">
        <f>AVERAGE(C16:E16)</f>
        <v>1.1281543210969509</v>
      </c>
      <c r="G16" s="79">
        <v>1.1060000000000001</v>
      </c>
      <c r="H16" s="79">
        <v>1.149</v>
      </c>
      <c r="I16" s="80">
        <v>1.1386286646491872</v>
      </c>
      <c r="J16" s="81">
        <f t="shared" si="1"/>
        <v>1.1312095548830623</v>
      </c>
      <c r="K16" s="7"/>
      <c r="L16" s="7"/>
      <c r="M16" s="7"/>
      <c r="N16" s="7"/>
      <c r="O16" s="7"/>
      <c r="P16" s="7"/>
    </row>
    <row r="17" spans="1:16" ht="22.25" customHeight="1" x14ac:dyDescent="0.45">
      <c r="A17" s="35" t="s">
        <v>239</v>
      </c>
      <c r="B17" s="34" t="s">
        <v>111</v>
      </c>
      <c r="C17" s="76">
        <v>1.1053099312956651</v>
      </c>
      <c r="D17" s="76">
        <v>1.03</v>
      </c>
      <c r="E17" s="48">
        <v>1.0839587046939989</v>
      </c>
      <c r="F17" s="77">
        <f>AVERAGE(C17:E17)</f>
        <v>1.0730895453298881</v>
      </c>
      <c r="G17" s="79">
        <v>0.97599999999999998</v>
      </c>
      <c r="H17" s="79">
        <v>1.0920000000000001</v>
      </c>
      <c r="I17" s="80">
        <v>1.0684690402836661</v>
      </c>
      <c r="J17" s="81">
        <f t="shared" si="1"/>
        <v>1.0454896800945555</v>
      </c>
      <c r="K17" s="7"/>
      <c r="L17" s="7"/>
      <c r="M17" s="7"/>
      <c r="N17" s="7"/>
      <c r="O17" s="7"/>
      <c r="P17" s="7"/>
    </row>
    <row r="18" spans="1:16" x14ac:dyDescent="0.45">
      <c r="G18" s="75"/>
      <c r="H18" s="75"/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7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58" t="s">
        <v>240</v>
      </c>
      <c r="B1" s="258"/>
      <c r="C1" s="258"/>
      <c r="D1" s="258"/>
      <c r="E1" s="258"/>
      <c r="F1" s="258"/>
      <c r="G1" s="258"/>
      <c r="H1" s="258"/>
      <c r="I1" s="258"/>
      <c r="J1" s="258"/>
      <c r="K1" s="258"/>
      <c r="M1" s="261" t="s">
        <v>241</v>
      </c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</row>
    <row r="2" spans="1:48" ht="24.5" customHeight="1" x14ac:dyDescent="0.45">
      <c r="A2" s="259"/>
      <c r="B2" s="259"/>
      <c r="C2" s="259"/>
      <c r="D2" s="259"/>
      <c r="E2" s="259"/>
      <c r="F2" s="259"/>
      <c r="G2" s="259"/>
      <c r="H2" s="259"/>
      <c r="I2" s="259"/>
      <c r="J2" s="259"/>
      <c r="K2" s="259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</row>
    <row r="3" spans="1:48" ht="26.25" customHeight="1" x14ac:dyDescent="0.45">
      <c r="A3" s="255" t="s">
        <v>0</v>
      </c>
      <c r="B3" s="256" t="s">
        <v>5</v>
      </c>
      <c r="C3" s="28" t="s">
        <v>3</v>
      </c>
      <c r="D3" s="28" t="s">
        <v>242</v>
      </c>
      <c r="E3" s="28" t="s">
        <v>243</v>
      </c>
      <c r="F3" s="28" t="s">
        <v>244</v>
      </c>
      <c r="G3" s="28" t="s">
        <v>245</v>
      </c>
      <c r="H3" s="28" t="s">
        <v>246</v>
      </c>
      <c r="I3" s="28" t="s">
        <v>247</v>
      </c>
      <c r="J3" s="28" t="s">
        <v>248</v>
      </c>
      <c r="K3" s="28" t="s">
        <v>249</v>
      </c>
      <c r="M3" s="260" t="s">
        <v>34</v>
      </c>
      <c r="N3" s="202" t="s">
        <v>250</v>
      </c>
      <c r="O3" s="203"/>
      <c r="P3" s="203"/>
      <c r="Q3" s="203"/>
      <c r="R3" s="253" t="s">
        <v>251</v>
      </c>
      <c r="S3" s="202" t="s">
        <v>252</v>
      </c>
      <c r="T3" s="203"/>
      <c r="U3" s="203"/>
      <c r="V3" s="203"/>
      <c r="W3" s="253" t="s">
        <v>251</v>
      </c>
      <c r="X3" s="215" t="s">
        <v>41</v>
      </c>
      <c r="Y3" s="216"/>
      <c r="Z3" s="216"/>
      <c r="AA3" s="253" t="s">
        <v>251</v>
      </c>
      <c r="AB3" s="71"/>
      <c r="AC3" s="202" t="s">
        <v>42</v>
      </c>
      <c r="AD3" s="203"/>
      <c r="AE3" s="203"/>
      <c r="AF3" s="203"/>
      <c r="AG3" s="202" t="s">
        <v>43</v>
      </c>
      <c r="AH3" s="203"/>
      <c r="AI3" s="203"/>
      <c r="AJ3" s="203"/>
      <c r="AK3" s="202" t="s">
        <v>44</v>
      </c>
      <c r="AL3" s="203"/>
      <c r="AM3" s="203"/>
      <c r="AN3" s="203"/>
      <c r="AO3" s="202" t="s">
        <v>46</v>
      </c>
      <c r="AP3" s="203"/>
      <c r="AQ3" s="203"/>
      <c r="AR3" s="203"/>
      <c r="AS3" s="202" t="s">
        <v>47</v>
      </c>
      <c r="AT3" s="203"/>
      <c r="AU3" s="203"/>
      <c r="AV3" s="203"/>
    </row>
    <row r="4" spans="1:48" ht="22.25" customHeight="1" x14ac:dyDescent="0.45">
      <c r="A4" s="255"/>
      <c r="B4" s="257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60"/>
      <c r="N4" s="8" t="s">
        <v>2</v>
      </c>
      <c r="O4" s="9" t="s">
        <v>58</v>
      </c>
      <c r="P4" s="9" t="s">
        <v>4</v>
      </c>
      <c r="Q4" s="51" t="s">
        <v>59</v>
      </c>
      <c r="R4" s="254"/>
      <c r="S4" s="8" t="s">
        <v>2</v>
      </c>
      <c r="T4" s="9" t="s">
        <v>58</v>
      </c>
      <c r="U4" s="31" t="s">
        <v>4</v>
      </c>
      <c r="V4" s="51" t="s">
        <v>59</v>
      </c>
      <c r="W4" s="254"/>
      <c r="X4" s="8" t="s">
        <v>2</v>
      </c>
      <c r="Y4" s="9" t="s">
        <v>58</v>
      </c>
      <c r="Z4" s="9" t="s">
        <v>4</v>
      </c>
      <c r="AA4" s="254"/>
      <c r="AB4" s="51" t="s">
        <v>59</v>
      </c>
      <c r="AC4" s="8" t="s">
        <v>2</v>
      </c>
      <c r="AD4" s="9" t="s">
        <v>58</v>
      </c>
      <c r="AE4" s="9" t="s">
        <v>4</v>
      </c>
      <c r="AF4" s="51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51" t="s">
        <v>59</v>
      </c>
      <c r="AO4" s="22" t="s">
        <v>2</v>
      </c>
      <c r="AP4" s="9" t="s">
        <v>58</v>
      </c>
      <c r="AQ4" s="31" t="s">
        <v>4</v>
      </c>
      <c r="AR4" s="51" t="s">
        <v>59</v>
      </c>
      <c r="AS4" s="22" t="s">
        <v>2</v>
      </c>
      <c r="AT4" s="9" t="s">
        <v>58</v>
      </c>
      <c r="AU4" s="31" t="s">
        <v>4</v>
      </c>
      <c r="AV4" s="51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9" t="s">
        <v>65</v>
      </c>
      <c r="N5" s="12">
        <v>9</v>
      </c>
      <c r="O5" s="64">
        <v>9</v>
      </c>
      <c r="P5" s="14">
        <v>1</v>
      </c>
      <c r="Q5" s="52">
        <f t="shared" ref="Q5:Q20" si="1">O5-N5</f>
        <v>0</v>
      </c>
      <c r="R5" s="70"/>
      <c r="S5" s="57">
        <v>30</v>
      </c>
      <c r="T5" s="13">
        <v>31</v>
      </c>
      <c r="U5" s="14">
        <v>1.0333333333333334</v>
      </c>
      <c r="V5" s="52">
        <v>-1</v>
      </c>
      <c r="W5" s="69"/>
      <c r="X5" s="12">
        <v>3</v>
      </c>
      <c r="Y5" s="13">
        <v>3</v>
      </c>
      <c r="Z5" s="29">
        <v>1</v>
      </c>
      <c r="AA5" s="69"/>
      <c r="AB5" s="52">
        <v>0</v>
      </c>
      <c r="AC5" s="58">
        <v>8</v>
      </c>
      <c r="AD5" s="13">
        <v>11</v>
      </c>
      <c r="AE5" s="14">
        <v>1.375</v>
      </c>
      <c r="AF5" s="52">
        <v>-3</v>
      </c>
      <c r="AG5" s="58">
        <v>2</v>
      </c>
      <c r="AH5" s="13">
        <v>2</v>
      </c>
      <c r="AI5" s="14">
        <v>1</v>
      </c>
      <c r="AJ5" s="50">
        <v>0</v>
      </c>
      <c r="AK5" s="12">
        <v>85</v>
      </c>
      <c r="AL5" s="13">
        <v>118</v>
      </c>
      <c r="AM5" s="14">
        <v>1.388235294117647</v>
      </c>
      <c r="AN5" s="52">
        <v>-33</v>
      </c>
      <c r="AO5" s="57">
        <v>30</v>
      </c>
      <c r="AP5" s="13">
        <v>31</v>
      </c>
      <c r="AQ5" s="14">
        <v>1.0333333333333334</v>
      </c>
      <c r="AR5" s="52">
        <v>-1</v>
      </c>
      <c r="AS5" s="57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52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9" t="s">
        <v>70</v>
      </c>
      <c r="N6" s="12">
        <v>10</v>
      </c>
      <c r="O6" s="64">
        <v>13</v>
      </c>
      <c r="P6" s="14">
        <v>1.3</v>
      </c>
      <c r="Q6" s="52">
        <f t="shared" si="1"/>
        <v>3</v>
      </c>
      <c r="R6" s="70"/>
      <c r="S6" s="57">
        <v>30</v>
      </c>
      <c r="T6" s="13">
        <v>34</v>
      </c>
      <c r="U6" s="14">
        <v>1.1333333333333333</v>
      </c>
      <c r="V6" s="52">
        <v>-4</v>
      </c>
      <c r="W6" s="69"/>
      <c r="X6" s="12">
        <v>2</v>
      </c>
      <c r="Y6" s="64">
        <v>2</v>
      </c>
      <c r="Z6" s="29">
        <v>1</v>
      </c>
      <c r="AA6" s="69"/>
      <c r="AB6" s="52">
        <v>0</v>
      </c>
      <c r="AC6" s="58">
        <v>9</v>
      </c>
      <c r="AD6" s="13">
        <v>13</v>
      </c>
      <c r="AE6" s="14">
        <v>1.4444444444444444</v>
      </c>
      <c r="AF6" s="52">
        <v>-4</v>
      </c>
      <c r="AG6" s="58">
        <v>1</v>
      </c>
      <c r="AH6" s="13">
        <v>3</v>
      </c>
      <c r="AI6" s="14">
        <v>3</v>
      </c>
      <c r="AJ6" s="50">
        <v>-2</v>
      </c>
      <c r="AK6" s="12">
        <v>85</v>
      </c>
      <c r="AL6" s="13">
        <v>93</v>
      </c>
      <c r="AM6" s="14">
        <v>1.0941176470588236</v>
      </c>
      <c r="AN6" s="52">
        <v>-8</v>
      </c>
      <c r="AO6" s="57">
        <v>30</v>
      </c>
      <c r="AP6" s="13">
        <v>34</v>
      </c>
      <c r="AQ6" s="14">
        <v>1.1333333333333333</v>
      </c>
      <c r="AR6" s="52">
        <v>-4</v>
      </c>
      <c r="AS6" s="57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52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9" t="s">
        <v>73</v>
      </c>
      <c r="N7" s="12">
        <v>9</v>
      </c>
      <c r="O7" s="64">
        <v>8</v>
      </c>
      <c r="P7" s="14">
        <v>0.88888888888888884</v>
      </c>
      <c r="Q7" s="52">
        <f t="shared" si="1"/>
        <v>-1</v>
      </c>
      <c r="R7" s="70"/>
      <c r="S7" s="57">
        <v>30</v>
      </c>
      <c r="T7" s="13">
        <v>18</v>
      </c>
      <c r="U7" s="14">
        <v>0.6</v>
      </c>
      <c r="V7" s="52">
        <v>12</v>
      </c>
      <c r="W7" s="69">
        <v>12</v>
      </c>
      <c r="X7" s="12">
        <v>3</v>
      </c>
      <c r="Y7" s="13">
        <v>2</v>
      </c>
      <c r="Z7" s="29">
        <v>0.66666666666666663</v>
      </c>
      <c r="AA7" s="69">
        <v>1</v>
      </c>
      <c r="AB7" s="52">
        <v>1</v>
      </c>
      <c r="AC7" s="58">
        <v>8</v>
      </c>
      <c r="AD7" s="13">
        <v>7</v>
      </c>
      <c r="AE7" s="14">
        <v>0.875</v>
      </c>
      <c r="AF7" s="52">
        <v>1</v>
      </c>
      <c r="AG7" s="58">
        <v>1</v>
      </c>
      <c r="AH7" s="13">
        <v>0</v>
      </c>
      <c r="AI7" s="14">
        <v>0</v>
      </c>
      <c r="AJ7" s="50">
        <v>1</v>
      </c>
      <c r="AK7" s="12">
        <v>85</v>
      </c>
      <c r="AL7" s="13">
        <v>84</v>
      </c>
      <c r="AM7" s="14">
        <v>0.9882352941176471</v>
      </c>
      <c r="AN7" s="52">
        <v>1</v>
      </c>
      <c r="AO7" s="57">
        <v>30</v>
      </c>
      <c r="AP7" s="13">
        <v>18</v>
      </c>
      <c r="AQ7" s="14">
        <v>0.6</v>
      </c>
      <c r="AR7" s="52">
        <v>12</v>
      </c>
      <c r="AS7" s="57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52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60" t="s">
        <v>76</v>
      </c>
      <c r="N8" s="12">
        <v>9</v>
      </c>
      <c r="O8" s="64">
        <v>3</v>
      </c>
      <c r="P8" s="14">
        <v>0.33333333333333331</v>
      </c>
      <c r="Q8" s="52">
        <f t="shared" si="1"/>
        <v>-6</v>
      </c>
      <c r="R8" s="70">
        <v>3</v>
      </c>
      <c r="S8" s="57">
        <v>30</v>
      </c>
      <c r="T8" s="13">
        <v>30</v>
      </c>
      <c r="U8" s="14">
        <v>1</v>
      </c>
      <c r="V8" s="52">
        <v>0</v>
      </c>
      <c r="W8" s="69"/>
      <c r="X8" s="12">
        <v>3</v>
      </c>
      <c r="Y8" s="13">
        <v>3</v>
      </c>
      <c r="Z8" s="29">
        <v>1</v>
      </c>
      <c r="AA8" s="69"/>
      <c r="AB8" s="52">
        <v>0</v>
      </c>
      <c r="AC8" s="58">
        <v>9</v>
      </c>
      <c r="AD8" s="13">
        <v>4</v>
      </c>
      <c r="AE8" s="14">
        <v>0.44444444444444442</v>
      </c>
      <c r="AF8" s="52">
        <v>5</v>
      </c>
      <c r="AG8" s="58">
        <v>1</v>
      </c>
      <c r="AH8" s="13">
        <v>0</v>
      </c>
      <c r="AI8" s="14">
        <v>0</v>
      </c>
      <c r="AJ8" s="50">
        <v>1</v>
      </c>
      <c r="AK8" s="12">
        <v>85</v>
      </c>
      <c r="AL8" s="13">
        <v>118</v>
      </c>
      <c r="AM8" s="14">
        <v>1.388235294117647</v>
      </c>
      <c r="AN8" s="52">
        <v>-33</v>
      </c>
      <c r="AO8" s="57">
        <v>30</v>
      </c>
      <c r="AP8" s="13">
        <v>30</v>
      </c>
      <c r="AQ8" s="14">
        <v>1</v>
      </c>
      <c r="AR8" s="52">
        <v>0</v>
      </c>
      <c r="AS8" s="57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52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9" t="s">
        <v>253</v>
      </c>
      <c r="N9" s="12">
        <v>8</v>
      </c>
      <c r="O9" s="64">
        <v>6</v>
      </c>
      <c r="P9" s="14">
        <v>0.75</v>
      </c>
      <c r="Q9" s="52">
        <f t="shared" si="1"/>
        <v>-2</v>
      </c>
      <c r="R9" s="70">
        <v>1</v>
      </c>
      <c r="S9" s="57">
        <v>30</v>
      </c>
      <c r="T9" s="13">
        <v>12</v>
      </c>
      <c r="U9" s="14">
        <v>0.4</v>
      </c>
      <c r="V9" s="52">
        <v>18</v>
      </c>
      <c r="W9" s="69">
        <v>18</v>
      </c>
      <c r="X9" s="12">
        <v>3</v>
      </c>
      <c r="Y9" s="13">
        <v>3</v>
      </c>
      <c r="Z9" s="29">
        <v>1</v>
      </c>
      <c r="AA9" s="69"/>
      <c r="AB9" s="52">
        <v>0</v>
      </c>
      <c r="AC9" s="58">
        <v>8</v>
      </c>
      <c r="AD9" s="13">
        <v>7</v>
      </c>
      <c r="AE9" s="14">
        <v>0.875</v>
      </c>
      <c r="AF9" s="52">
        <v>1</v>
      </c>
      <c r="AG9" s="58">
        <v>1</v>
      </c>
      <c r="AH9" s="13">
        <v>2</v>
      </c>
      <c r="AI9" s="14">
        <v>2</v>
      </c>
      <c r="AJ9" s="50">
        <v>-1</v>
      </c>
      <c r="AK9" s="12">
        <v>71</v>
      </c>
      <c r="AL9" s="13">
        <v>74</v>
      </c>
      <c r="AM9" s="14">
        <v>1.0422535211267605</v>
      </c>
      <c r="AN9" s="52">
        <v>-3</v>
      </c>
      <c r="AO9" s="57">
        <v>30</v>
      </c>
      <c r="AP9" s="13">
        <v>12</v>
      </c>
      <c r="AQ9" s="14">
        <v>0.4</v>
      </c>
      <c r="AR9" s="52">
        <v>18</v>
      </c>
      <c r="AS9" s="57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52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9" t="s">
        <v>82</v>
      </c>
      <c r="N10" s="12">
        <v>9</v>
      </c>
      <c r="O10" s="64">
        <v>6</v>
      </c>
      <c r="P10" s="14">
        <v>0.66666666666666663</v>
      </c>
      <c r="Q10" s="52">
        <f t="shared" si="1"/>
        <v>-3</v>
      </c>
      <c r="R10" s="70">
        <v>1</v>
      </c>
      <c r="S10" s="57">
        <v>30</v>
      </c>
      <c r="T10" s="13">
        <v>24</v>
      </c>
      <c r="U10" s="14">
        <v>0.8</v>
      </c>
      <c r="V10" s="52">
        <v>6</v>
      </c>
      <c r="W10" s="69">
        <v>6</v>
      </c>
      <c r="X10" s="12">
        <v>3</v>
      </c>
      <c r="Y10" s="13">
        <v>3</v>
      </c>
      <c r="Z10" s="29">
        <v>1</v>
      </c>
      <c r="AA10" s="69"/>
      <c r="AB10" s="52">
        <v>0</v>
      </c>
      <c r="AC10" s="58">
        <v>8</v>
      </c>
      <c r="AD10" s="13">
        <v>5</v>
      </c>
      <c r="AE10" s="14">
        <v>0.625</v>
      </c>
      <c r="AF10" s="52">
        <v>3</v>
      </c>
      <c r="AG10" s="58">
        <v>1</v>
      </c>
      <c r="AH10" s="13">
        <v>1</v>
      </c>
      <c r="AI10" s="14">
        <v>1</v>
      </c>
      <c r="AJ10" s="50">
        <v>0</v>
      </c>
      <c r="AK10" s="12">
        <v>75</v>
      </c>
      <c r="AL10" s="13">
        <v>45</v>
      </c>
      <c r="AM10" s="14">
        <v>0.6</v>
      </c>
      <c r="AN10" s="52">
        <v>30</v>
      </c>
      <c r="AO10" s="57">
        <v>30</v>
      </c>
      <c r="AP10" s="13">
        <v>24</v>
      </c>
      <c r="AQ10" s="14">
        <v>0.8</v>
      </c>
      <c r="AR10" s="52">
        <v>6</v>
      </c>
      <c r="AS10" s="57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52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9" t="s">
        <v>85</v>
      </c>
      <c r="N11" s="12">
        <v>9</v>
      </c>
      <c r="O11" s="64">
        <v>8</v>
      </c>
      <c r="P11" s="14">
        <v>0.88888888888888884</v>
      </c>
      <c r="Q11" s="52">
        <f t="shared" si="1"/>
        <v>-1</v>
      </c>
      <c r="R11" s="70"/>
      <c r="S11" s="57">
        <v>24</v>
      </c>
      <c r="T11" s="13">
        <v>24</v>
      </c>
      <c r="U11" s="14">
        <v>1</v>
      </c>
      <c r="V11" s="52">
        <v>0</v>
      </c>
      <c r="W11" s="69"/>
      <c r="X11" s="12">
        <v>3</v>
      </c>
      <c r="Y11" s="13">
        <v>2</v>
      </c>
      <c r="Z11" s="29">
        <v>0.66</v>
      </c>
      <c r="AA11" s="69"/>
      <c r="AB11" s="52">
        <v>2</v>
      </c>
      <c r="AC11" s="58">
        <v>7</v>
      </c>
      <c r="AD11" s="13">
        <v>4</v>
      </c>
      <c r="AE11" s="14">
        <v>0.5714285714285714</v>
      </c>
      <c r="AF11" s="52">
        <v>3</v>
      </c>
      <c r="AG11" s="58">
        <v>1</v>
      </c>
      <c r="AH11" s="13">
        <v>1</v>
      </c>
      <c r="AI11" s="14">
        <v>1</v>
      </c>
      <c r="AJ11" s="50">
        <v>0</v>
      </c>
      <c r="AK11" s="12">
        <v>80</v>
      </c>
      <c r="AL11" s="13">
        <v>46</v>
      </c>
      <c r="AM11" s="14">
        <v>0.57499999999999996</v>
      </c>
      <c r="AN11" s="52">
        <v>34</v>
      </c>
      <c r="AO11" s="57">
        <v>24</v>
      </c>
      <c r="AP11" s="13">
        <v>24</v>
      </c>
      <c r="AQ11" s="14">
        <v>1</v>
      </c>
      <c r="AR11" s="52">
        <v>0</v>
      </c>
      <c r="AS11" s="57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52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60" t="s">
        <v>88</v>
      </c>
      <c r="N12" s="12">
        <v>9</v>
      </c>
      <c r="O12" s="64">
        <v>7</v>
      </c>
      <c r="P12" s="14">
        <v>0.77777777777777779</v>
      </c>
      <c r="Q12" s="52">
        <f t="shared" si="1"/>
        <v>-2</v>
      </c>
      <c r="R12" s="70">
        <v>1</v>
      </c>
      <c r="S12" s="57">
        <v>30</v>
      </c>
      <c r="T12" s="13">
        <v>26</v>
      </c>
      <c r="U12" s="14">
        <v>0.8666666666666667</v>
      </c>
      <c r="V12" s="52">
        <v>4</v>
      </c>
      <c r="W12" s="69">
        <v>4</v>
      </c>
      <c r="X12" s="12">
        <v>3</v>
      </c>
      <c r="Y12" s="13">
        <v>2</v>
      </c>
      <c r="Z12" s="29">
        <v>0.66666666666666663</v>
      </c>
      <c r="AA12" s="69">
        <v>1</v>
      </c>
      <c r="AB12" s="52">
        <v>1</v>
      </c>
      <c r="AC12" s="58">
        <v>8</v>
      </c>
      <c r="AD12" s="13">
        <v>10</v>
      </c>
      <c r="AE12" s="14">
        <v>1.25</v>
      </c>
      <c r="AF12" s="52">
        <v>-2</v>
      </c>
      <c r="AG12" s="58">
        <v>1</v>
      </c>
      <c r="AH12" s="13">
        <v>1</v>
      </c>
      <c r="AI12" s="14">
        <v>1</v>
      </c>
      <c r="AJ12" s="50">
        <v>0</v>
      </c>
      <c r="AK12" s="12">
        <v>85</v>
      </c>
      <c r="AL12" s="13">
        <v>120</v>
      </c>
      <c r="AM12" s="14">
        <v>1.411764705882353</v>
      </c>
      <c r="AN12" s="52">
        <v>-35</v>
      </c>
      <c r="AO12" s="57">
        <v>30</v>
      </c>
      <c r="AP12" s="13">
        <v>26</v>
      </c>
      <c r="AQ12" s="14">
        <v>0.8666666666666667</v>
      </c>
      <c r="AR12" s="52">
        <v>4</v>
      </c>
      <c r="AS12" s="57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52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9" t="s">
        <v>91</v>
      </c>
      <c r="N13" s="12">
        <v>10</v>
      </c>
      <c r="O13" s="64">
        <v>11</v>
      </c>
      <c r="P13" s="14">
        <v>1.1000000000000001</v>
      </c>
      <c r="Q13" s="52">
        <f t="shared" si="1"/>
        <v>1</v>
      </c>
      <c r="R13" s="70"/>
      <c r="S13" s="57">
        <v>30</v>
      </c>
      <c r="T13" s="13">
        <v>25</v>
      </c>
      <c r="U13" s="14">
        <v>0.83333333333333337</v>
      </c>
      <c r="V13" s="52">
        <v>5</v>
      </c>
      <c r="W13" s="69">
        <v>5</v>
      </c>
      <c r="X13" s="12">
        <v>3</v>
      </c>
      <c r="Y13" s="13">
        <v>2</v>
      </c>
      <c r="Z13" s="29">
        <v>0.66666666666666663</v>
      </c>
      <c r="AA13" s="69">
        <v>1</v>
      </c>
      <c r="AB13" s="52">
        <v>1</v>
      </c>
      <c r="AC13" s="58">
        <v>8</v>
      </c>
      <c r="AD13" s="13">
        <v>12</v>
      </c>
      <c r="AE13" s="14">
        <v>1.5</v>
      </c>
      <c r="AF13" s="52">
        <v>-4</v>
      </c>
      <c r="AG13" s="58">
        <v>1</v>
      </c>
      <c r="AH13" s="13">
        <v>3</v>
      </c>
      <c r="AI13" s="14">
        <v>3</v>
      </c>
      <c r="AJ13" s="50">
        <v>-2</v>
      </c>
      <c r="AK13" s="12">
        <v>80</v>
      </c>
      <c r="AL13" s="13">
        <v>98</v>
      </c>
      <c r="AM13" s="14">
        <v>1.2250000000000001</v>
      </c>
      <c r="AN13" s="52">
        <v>-18</v>
      </c>
      <c r="AO13" s="57">
        <v>30</v>
      </c>
      <c r="AP13" s="13">
        <v>25</v>
      </c>
      <c r="AQ13" s="14">
        <v>0.83333333333333337</v>
      </c>
      <c r="AR13" s="52">
        <v>5</v>
      </c>
      <c r="AS13" s="57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52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9" t="s">
        <v>94</v>
      </c>
      <c r="N14" s="12">
        <v>2</v>
      </c>
      <c r="O14" s="64">
        <v>2</v>
      </c>
      <c r="P14" s="14">
        <v>1</v>
      </c>
      <c r="Q14" s="52">
        <f t="shared" si="1"/>
        <v>0</v>
      </c>
      <c r="R14" s="70"/>
      <c r="S14" s="57">
        <v>24</v>
      </c>
      <c r="T14" s="13">
        <v>18</v>
      </c>
      <c r="U14" s="14">
        <v>0.75</v>
      </c>
      <c r="V14" s="52">
        <v>6</v>
      </c>
      <c r="W14" s="69">
        <v>6</v>
      </c>
      <c r="X14" s="12">
        <v>1</v>
      </c>
      <c r="Y14" s="13">
        <v>1</v>
      </c>
      <c r="Z14" s="29">
        <v>1</v>
      </c>
      <c r="AA14" s="69"/>
      <c r="AB14" s="52">
        <v>0</v>
      </c>
      <c r="AC14" s="58">
        <v>3</v>
      </c>
      <c r="AD14" s="13">
        <v>3</v>
      </c>
      <c r="AE14" s="14">
        <v>1</v>
      </c>
      <c r="AF14" s="52">
        <v>0</v>
      </c>
      <c r="AG14" s="58">
        <v>0</v>
      </c>
      <c r="AH14" s="13">
        <v>0</v>
      </c>
      <c r="AI14" s="14">
        <v>0</v>
      </c>
      <c r="AJ14" s="50">
        <v>0</v>
      </c>
      <c r="AK14" s="12">
        <v>36</v>
      </c>
      <c r="AL14" s="13">
        <v>55</v>
      </c>
      <c r="AM14" s="14">
        <v>1.5277777777777777</v>
      </c>
      <c r="AN14" s="52">
        <v>-19</v>
      </c>
      <c r="AO14" s="57">
        <v>24</v>
      </c>
      <c r="AP14" s="13">
        <v>18</v>
      </c>
      <c r="AQ14" s="14">
        <v>0.75</v>
      </c>
      <c r="AR14" s="52">
        <v>6</v>
      </c>
      <c r="AS14" s="57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52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9" t="s">
        <v>97</v>
      </c>
      <c r="N15" s="12">
        <v>3</v>
      </c>
      <c r="O15" s="64">
        <v>0</v>
      </c>
      <c r="P15" s="14">
        <v>0</v>
      </c>
      <c r="Q15" s="52">
        <f t="shared" si="1"/>
        <v>-3</v>
      </c>
      <c r="R15" s="70">
        <v>2</v>
      </c>
      <c r="S15" s="57">
        <v>12</v>
      </c>
      <c r="T15" s="13">
        <v>0</v>
      </c>
      <c r="U15" s="14">
        <v>0</v>
      </c>
      <c r="V15" s="52">
        <v>12</v>
      </c>
      <c r="W15" s="69">
        <v>12</v>
      </c>
      <c r="X15" s="12">
        <v>1</v>
      </c>
      <c r="Y15" s="13">
        <v>1</v>
      </c>
      <c r="Z15" s="29">
        <v>1</v>
      </c>
      <c r="AA15" s="69"/>
      <c r="AB15" s="52">
        <v>0</v>
      </c>
      <c r="AC15" s="58">
        <v>8</v>
      </c>
      <c r="AD15" s="13">
        <v>5</v>
      </c>
      <c r="AE15" s="14">
        <v>0.625</v>
      </c>
      <c r="AF15" s="52">
        <v>3</v>
      </c>
      <c r="AG15" s="58">
        <v>0</v>
      </c>
      <c r="AH15" s="13">
        <v>0</v>
      </c>
      <c r="AI15" s="14">
        <v>0</v>
      </c>
      <c r="AJ15" s="50">
        <v>0</v>
      </c>
      <c r="AK15" s="12">
        <v>24</v>
      </c>
      <c r="AL15" s="13">
        <v>6</v>
      </c>
      <c r="AM15" s="14">
        <v>0.25</v>
      </c>
      <c r="AN15" s="52">
        <v>18</v>
      </c>
      <c r="AO15" s="57">
        <v>12</v>
      </c>
      <c r="AP15" s="13">
        <v>0</v>
      </c>
      <c r="AQ15" s="14">
        <v>0</v>
      </c>
      <c r="AR15" s="52">
        <v>12</v>
      </c>
      <c r="AS15" s="57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52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9" t="s">
        <v>100</v>
      </c>
      <c r="N16" s="12">
        <v>9</v>
      </c>
      <c r="O16" s="64">
        <v>4</v>
      </c>
      <c r="P16" s="14">
        <v>0.44444444444444442</v>
      </c>
      <c r="Q16" s="52">
        <f t="shared" si="1"/>
        <v>-5</v>
      </c>
      <c r="R16" s="70">
        <v>2</v>
      </c>
      <c r="S16" s="57">
        <v>30</v>
      </c>
      <c r="T16" s="13">
        <v>6</v>
      </c>
      <c r="U16" s="14">
        <v>0.2</v>
      </c>
      <c r="V16" s="52">
        <v>24</v>
      </c>
      <c r="W16" s="69">
        <v>24</v>
      </c>
      <c r="X16" s="12">
        <v>3</v>
      </c>
      <c r="Y16" s="13">
        <v>1</v>
      </c>
      <c r="Z16" s="29">
        <v>0.33333333333333331</v>
      </c>
      <c r="AA16" s="69">
        <v>2</v>
      </c>
      <c r="AB16" s="52">
        <v>2</v>
      </c>
      <c r="AC16" s="58">
        <v>9</v>
      </c>
      <c r="AD16" s="13">
        <v>3</v>
      </c>
      <c r="AE16" s="14">
        <v>0.33333333333333331</v>
      </c>
      <c r="AF16" s="52">
        <v>6</v>
      </c>
      <c r="AG16" s="58">
        <v>1</v>
      </c>
      <c r="AH16" s="13">
        <v>0</v>
      </c>
      <c r="AI16" s="14">
        <v>0</v>
      </c>
      <c r="AJ16" s="50">
        <v>1</v>
      </c>
      <c r="AK16" s="12">
        <v>80</v>
      </c>
      <c r="AL16" s="13">
        <v>30</v>
      </c>
      <c r="AM16" s="14">
        <v>0.375</v>
      </c>
      <c r="AN16" s="52">
        <v>50</v>
      </c>
      <c r="AO16" s="57">
        <v>30</v>
      </c>
      <c r="AP16" s="13">
        <v>6</v>
      </c>
      <c r="AQ16" s="14">
        <v>0.2</v>
      </c>
      <c r="AR16" s="52">
        <v>24</v>
      </c>
      <c r="AS16" s="57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52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9" t="s">
        <v>103</v>
      </c>
      <c r="N17" s="12">
        <v>6</v>
      </c>
      <c r="O17" s="64">
        <v>4</v>
      </c>
      <c r="P17" s="14">
        <v>0.66666666666666663</v>
      </c>
      <c r="Q17" s="52">
        <f t="shared" si="1"/>
        <v>-2</v>
      </c>
      <c r="R17" s="70">
        <v>1</v>
      </c>
      <c r="S17" s="57">
        <v>30</v>
      </c>
      <c r="T17" s="13">
        <v>12</v>
      </c>
      <c r="U17" s="14">
        <v>0.4</v>
      </c>
      <c r="V17" s="52">
        <v>18</v>
      </c>
      <c r="W17" s="69">
        <v>18</v>
      </c>
      <c r="X17" s="12">
        <v>3</v>
      </c>
      <c r="Y17" s="13">
        <v>2</v>
      </c>
      <c r="Z17" s="29">
        <v>0.66666666666666663</v>
      </c>
      <c r="AA17" s="69">
        <v>1</v>
      </c>
      <c r="AB17" s="52">
        <v>1</v>
      </c>
      <c r="AC17" s="58">
        <v>8</v>
      </c>
      <c r="AD17" s="13">
        <v>3</v>
      </c>
      <c r="AE17" s="14">
        <v>0.375</v>
      </c>
      <c r="AF17" s="52">
        <v>5</v>
      </c>
      <c r="AG17" s="58">
        <v>3</v>
      </c>
      <c r="AH17" s="13">
        <v>3</v>
      </c>
      <c r="AI17" s="14">
        <v>1</v>
      </c>
      <c r="AJ17" s="50">
        <v>0</v>
      </c>
      <c r="AK17" s="12">
        <v>85</v>
      </c>
      <c r="AL17" s="13">
        <v>78</v>
      </c>
      <c r="AM17" s="14">
        <v>0.91764705882352937</v>
      </c>
      <c r="AN17" s="52">
        <v>7</v>
      </c>
      <c r="AO17" s="57">
        <v>30</v>
      </c>
      <c r="AP17" s="13">
        <v>12</v>
      </c>
      <c r="AQ17" s="14">
        <v>0.4</v>
      </c>
      <c r="AR17" s="52">
        <v>18</v>
      </c>
      <c r="AS17" s="57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52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9" t="s">
        <v>237</v>
      </c>
      <c r="N18" s="12">
        <v>2</v>
      </c>
      <c r="O18" s="64">
        <v>0</v>
      </c>
      <c r="P18" s="14">
        <v>0</v>
      </c>
      <c r="Q18" s="52">
        <f t="shared" si="1"/>
        <v>-2</v>
      </c>
      <c r="R18" s="70">
        <v>1</v>
      </c>
      <c r="S18" s="57">
        <v>12</v>
      </c>
      <c r="T18" s="13">
        <v>12</v>
      </c>
      <c r="U18" s="14">
        <v>1</v>
      </c>
      <c r="V18" s="52">
        <v>0</v>
      </c>
      <c r="W18" s="69"/>
      <c r="X18" s="12">
        <v>1</v>
      </c>
      <c r="Y18" s="13">
        <v>0</v>
      </c>
      <c r="Z18" s="29">
        <v>0</v>
      </c>
      <c r="AA18" s="69">
        <v>1</v>
      </c>
      <c r="AB18" s="52">
        <v>1</v>
      </c>
      <c r="AC18" s="58">
        <v>1</v>
      </c>
      <c r="AD18" s="13">
        <v>1</v>
      </c>
      <c r="AE18" s="14">
        <v>1</v>
      </c>
      <c r="AF18" s="52">
        <v>0</v>
      </c>
      <c r="AG18" s="58">
        <v>1</v>
      </c>
      <c r="AH18" s="13">
        <v>0</v>
      </c>
      <c r="AI18" s="14">
        <v>0</v>
      </c>
      <c r="AJ18" s="50">
        <v>1</v>
      </c>
      <c r="AK18" s="12">
        <v>12</v>
      </c>
      <c r="AL18" s="13">
        <v>12</v>
      </c>
      <c r="AM18" s="14">
        <v>1</v>
      </c>
      <c r="AN18" s="52">
        <v>0</v>
      </c>
      <c r="AO18" s="57">
        <v>12</v>
      </c>
      <c r="AP18" s="13">
        <v>12</v>
      </c>
      <c r="AQ18" s="14">
        <v>1</v>
      </c>
      <c r="AR18" s="52">
        <v>0</v>
      </c>
      <c r="AS18" s="57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52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9" t="s">
        <v>108</v>
      </c>
      <c r="N19" s="12">
        <v>10</v>
      </c>
      <c r="O19" s="64">
        <v>8</v>
      </c>
      <c r="P19" s="14">
        <v>0.8</v>
      </c>
      <c r="Q19" s="52">
        <f t="shared" si="1"/>
        <v>-2</v>
      </c>
      <c r="R19" s="70"/>
      <c r="S19" s="57">
        <v>30</v>
      </c>
      <c r="T19" s="13">
        <v>42</v>
      </c>
      <c r="U19" s="14">
        <v>1.4</v>
      </c>
      <c r="V19" s="52">
        <v>-12</v>
      </c>
      <c r="W19" s="69"/>
      <c r="X19" s="12">
        <v>3</v>
      </c>
      <c r="Y19" s="13">
        <v>3</v>
      </c>
      <c r="Z19" s="29">
        <v>1</v>
      </c>
      <c r="AA19" s="69"/>
      <c r="AB19" s="52">
        <v>0</v>
      </c>
      <c r="AC19" s="58">
        <v>9</v>
      </c>
      <c r="AD19" s="13">
        <v>12</v>
      </c>
      <c r="AE19" s="14">
        <v>1.3333333333333333</v>
      </c>
      <c r="AF19" s="52">
        <v>-3</v>
      </c>
      <c r="AG19" s="58">
        <v>2</v>
      </c>
      <c r="AH19" s="13">
        <v>2</v>
      </c>
      <c r="AI19" s="14">
        <v>1</v>
      </c>
      <c r="AJ19" s="50">
        <v>0</v>
      </c>
      <c r="AK19" s="12">
        <v>85</v>
      </c>
      <c r="AL19" s="13">
        <v>129</v>
      </c>
      <c r="AM19" s="14">
        <v>1.5176470588235293</v>
      </c>
      <c r="AN19" s="52">
        <v>-44</v>
      </c>
      <c r="AO19" s="57">
        <v>30</v>
      </c>
      <c r="AP19" s="13">
        <v>42</v>
      </c>
      <c r="AQ19" s="14">
        <v>1.4</v>
      </c>
      <c r="AR19" s="52">
        <v>-12</v>
      </c>
      <c r="AS19" s="57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52" t="e">
        <f t="shared" si="3"/>
        <v>#REF!</v>
      </c>
    </row>
    <row r="20" spans="1:48" ht="19.899999999999999" x14ac:dyDescent="0.45">
      <c r="A20" s="27">
        <v>17</v>
      </c>
      <c r="B20" s="26" t="s">
        <v>254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9" t="s">
        <v>111</v>
      </c>
      <c r="N20" s="12">
        <v>10</v>
      </c>
      <c r="O20" s="64">
        <v>3</v>
      </c>
      <c r="P20" s="14">
        <v>0.3</v>
      </c>
      <c r="Q20" s="52">
        <f t="shared" si="1"/>
        <v>-7</v>
      </c>
      <c r="R20" s="70">
        <v>3</v>
      </c>
      <c r="S20" s="57">
        <v>27</v>
      </c>
      <c r="T20" s="13">
        <v>11</v>
      </c>
      <c r="U20" s="14">
        <v>0.40740740740740738</v>
      </c>
      <c r="V20" s="52">
        <v>16</v>
      </c>
      <c r="W20" s="69">
        <v>16</v>
      </c>
      <c r="X20" s="12">
        <v>3</v>
      </c>
      <c r="Y20" s="13">
        <v>3</v>
      </c>
      <c r="Z20" s="29">
        <v>1</v>
      </c>
      <c r="AA20" s="69"/>
      <c r="AB20" s="52">
        <v>0</v>
      </c>
      <c r="AC20" s="58">
        <v>9</v>
      </c>
      <c r="AD20" s="13">
        <v>11</v>
      </c>
      <c r="AE20" s="14">
        <v>1.2222222222222223</v>
      </c>
      <c r="AF20" s="52">
        <v>-2</v>
      </c>
      <c r="AG20" s="58">
        <v>2</v>
      </c>
      <c r="AH20" s="13">
        <v>2</v>
      </c>
      <c r="AI20" s="14">
        <v>1</v>
      </c>
      <c r="AJ20" s="50">
        <v>0</v>
      </c>
      <c r="AK20" s="12">
        <v>85</v>
      </c>
      <c r="AL20" s="13">
        <v>51</v>
      </c>
      <c r="AM20" s="14">
        <v>0.6</v>
      </c>
      <c r="AN20" s="52">
        <v>34</v>
      </c>
      <c r="AO20" s="57">
        <v>27</v>
      </c>
      <c r="AP20" s="13">
        <v>11</v>
      </c>
      <c r="AQ20" s="14">
        <v>0.40740740740740738</v>
      </c>
      <c r="AR20" s="52">
        <v>16</v>
      </c>
      <c r="AS20" s="57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52" t="e">
        <f t="shared" si="3"/>
        <v>#REF!</v>
      </c>
    </row>
  </sheetData>
  <mergeCells count="16">
    <mergeCell ref="A3:A4"/>
    <mergeCell ref="B3:B4"/>
    <mergeCell ref="A1:K2"/>
    <mergeCell ref="M3:M4"/>
    <mergeCell ref="N3:Q3"/>
    <mergeCell ref="M1:Z2"/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S24" sqref="S24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65"/>
      <c r="B1" s="265"/>
      <c r="C1" s="265"/>
      <c r="D1" s="265"/>
      <c r="E1" s="265"/>
      <c r="F1" s="265"/>
      <c r="G1" s="265"/>
      <c r="H1" s="265"/>
      <c r="I1" s="265"/>
      <c r="J1" s="265"/>
      <c r="K1" s="265"/>
      <c r="L1" s="265"/>
      <c r="M1" s="265"/>
      <c r="N1" s="265"/>
      <c r="O1" s="265"/>
      <c r="P1" s="265"/>
    </row>
    <row r="2" spans="1:23" hidden="1" x14ac:dyDescent="0.45">
      <c r="A2" s="266"/>
      <c r="B2" s="266"/>
      <c r="C2" s="266"/>
      <c r="D2" s="266"/>
      <c r="E2" s="266"/>
      <c r="F2" s="266"/>
      <c r="G2" s="266"/>
      <c r="H2" s="266"/>
      <c r="I2" s="266"/>
      <c r="J2" s="266"/>
      <c r="K2" s="266"/>
      <c r="L2" s="266"/>
      <c r="M2" s="266"/>
      <c r="N2" s="266"/>
      <c r="O2" s="266"/>
      <c r="P2" s="266"/>
    </row>
    <row r="3" spans="1:23" hidden="1" x14ac:dyDescent="0.45">
      <c r="A3" s="267"/>
      <c r="B3" s="267"/>
      <c r="C3" s="133"/>
      <c r="D3" s="133"/>
      <c r="E3" s="133"/>
      <c r="F3" s="133"/>
      <c r="G3" s="133"/>
      <c r="H3" s="133"/>
      <c r="I3" s="133"/>
      <c r="J3" s="133"/>
      <c r="K3" s="133"/>
      <c r="L3" s="133"/>
      <c r="M3" s="133"/>
      <c r="N3" s="133"/>
      <c r="O3" s="133"/>
      <c r="P3" s="133"/>
    </row>
    <row r="4" spans="1:23" hidden="1" x14ac:dyDescent="0.45">
      <c r="A4" s="269" t="s">
        <v>255</v>
      </c>
      <c r="B4" s="269" t="s">
        <v>39</v>
      </c>
      <c r="C4" s="141"/>
      <c r="D4" s="141"/>
      <c r="E4" s="141"/>
      <c r="F4" s="141"/>
      <c r="G4" s="141"/>
      <c r="H4" s="268"/>
      <c r="I4" s="268"/>
      <c r="J4" s="268"/>
      <c r="K4" s="268"/>
      <c r="L4" s="268"/>
      <c r="M4" s="268"/>
      <c r="N4" s="268"/>
      <c r="O4" s="268"/>
      <c r="P4" s="268"/>
    </row>
    <row r="5" spans="1:23" x14ac:dyDescent="0.45">
      <c r="A5" s="272"/>
      <c r="B5" s="272"/>
      <c r="C5" s="269" t="s">
        <v>256</v>
      </c>
      <c r="D5" s="269" t="s">
        <v>257</v>
      </c>
      <c r="E5" s="270"/>
      <c r="F5" s="269" t="s">
        <v>258</v>
      </c>
      <c r="G5" s="270"/>
      <c r="H5" s="269" t="s">
        <v>259</v>
      </c>
      <c r="I5" s="270"/>
      <c r="J5" s="269" t="s">
        <v>260</v>
      </c>
      <c r="K5" s="270"/>
      <c r="L5" s="273" t="s">
        <v>261</v>
      </c>
      <c r="M5" s="270"/>
      <c r="N5" s="268" t="s">
        <v>262</v>
      </c>
      <c r="O5" s="274"/>
      <c r="P5" s="269" t="s">
        <v>266</v>
      </c>
      <c r="R5" s="263" t="s">
        <v>34</v>
      </c>
      <c r="S5" s="263" t="s">
        <v>290</v>
      </c>
      <c r="T5" s="263" t="s">
        <v>291</v>
      </c>
      <c r="U5" s="263" t="s">
        <v>293</v>
      </c>
      <c r="V5" s="264" t="s">
        <v>292</v>
      </c>
      <c r="W5" s="172"/>
    </row>
    <row r="6" spans="1:23" x14ac:dyDescent="0.45">
      <c r="A6" s="271"/>
      <c r="B6" s="271"/>
      <c r="C6" s="272"/>
      <c r="D6" s="134" t="s">
        <v>2</v>
      </c>
      <c r="E6" s="134" t="s">
        <v>263</v>
      </c>
      <c r="F6" s="134" t="s">
        <v>2</v>
      </c>
      <c r="G6" s="134" t="s">
        <v>263</v>
      </c>
      <c r="H6" s="134" t="s">
        <v>2</v>
      </c>
      <c r="I6" s="134" t="s">
        <v>263</v>
      </c>
      <c r="J6" s="134" t="s">
        <v>2</v>
      </c>
      <c r="K6" s="134" t="s">
        <v>263</v>
      </c>
      <c r="L6" s="134" t="s">
        <v>2</v>
      </c>
      <c r="M6" s="134" t="s">
        <v>263</v>
      </c>
      <c r="N6" s="134" t="s">
        <v>2</v>
      </c>
      <c r="O6" s="134" t="s">
        <v>263</v>
      </c>
      <c r="P6" s="271"/>
      <c r="R6" s="263"/>
      <c r="S6" s="263"/>
      <c r="T6" s="263"/>
      <c r="U6" s="263"/>
      <c r="V6" s="263"/>
      <c r="W6" s="172"/>
    </row>
    <row r="7" spans="1:23" x14ac:dyDescent="0.45">
      <c r="A7" s="190" t="s">
        <v>288</v>
      </c>
      <c r="B7" s="190" t="s">
        <v>68</v>
      </c>
      <c r="C7" s="190" t="s">
        <v>69</v>
      </c>
      <c r="D7" s="191">
        <v>434</v>
      </c>
      <c r="E7" s="191">
        <v>72573808</v>
      </c>
      <c r="F7" s="191">
        <v>0</v>
      </c>
      <c r="G7" s="191">
        <v>0</v>
      </c>
      <c r="H7" s="191">
        <v>434</v>
      </c>
      <c r="I7" s="191">
        <v>72573808</v>
      </c>
      <c r="J7" s="191">
        <v>6</v>
      </c>
      <c r="K7" s="191">
        <v>904499</v>
      </c>
      <c r="L7" s="191">
        <v>374</v>
      </c>
      <c r="M7" s="191">
        <v>61172308</v>
      </c>
      <c r="N7" s="192">
        <v>86.18</v>
      </c>
      <c r="O7" s="192">
        <v>84.29</v>
      </c>
      <c r="P7" s="135">
        <f>I7*0.97-M7</f>
        <v>9224285.7600000054</v>
      </c>
      <c r="R7" s="173" t="s">
        <v>117</v>
      </c>
      <c r="S7" s="176">
        <f>VLOOKUP(R7,$C$7:$P$27,7,0)</f>
        <v>101866340</v>
      </c>
      <c r="T7" s="175">
        <v>23239489.799999997</v>
      </c>
      <c r="U7" s="189">
        <f>VLOOKUP(R7,$C$7:$P$27,14,0)</f>
        <v>23239489.799999997</v>
      </c>
      <c r="V7" s="175">
        <f>VLOOKUP(R7,$C$7:$P$27,14,0)-T7</f>
        <v>0</v>
      </c>
    </row>
    <row r="8" spans="1:23" x14ac:dyDescent="0.45">
      <c r="A8" s="193" t="s">
        <v>288</v>
      </c>
      <c r="B8" s="193" t="s">
        <v>101</v>
      </c>
      <c r="C8" s="193" t="s">
        <v>102</v>
      </c>
      <c r="D8" s="194">
        <v>454</v>
      </c>
      <c r="E8" s="194">
        <v>70243418</v>
      </c>
      <c r="F8" s="194">
        <v>0</v>
      </c>
      <c r="G8" s="194">
        <v>0</v>
      </c>
      <c r="H8" s="194">
        <v>454</v>
      </c>
      <c r="I8" s="194">
        <v>70243418</v>
      </c>
      <c r="J8" s="194">
        <v>6</v>
      </c>
      <c r="K8" s="194">
        <v>772900</v>
      </c>
      <c r="L8" s="194">
        <v>367</v>
      </c>
      <c r="M8" s="194">
        <v>58301765</v>
      </c>
      <c r="N8" s="195">
        <v>80.84</v>
      </c>
      <c r="O8" s="195">
        <v>83</v>
      </c>
      <c r="P8" s="135">
        <f t="shared" ref="P8:P27" si="0">I8*0.97-M8</f>
        <v>9834350.4599999934</v>
      </c>
      <c r="R8" s="173" t="s">
        <v>67</v>
      </c>
      <c r="S8" s="176">
        <f t="shared" ref="S8:S17" si="1">VLOOKUP(R8,$C$7:$P$27,7,0)</f>
        <v>145101823</v>
      </c>
      <c r="T8" s="175">
        <v>24558081.310000002</v>
      </c>
      <c r="U8" s="189">
        <f t="shared" ref="U8:U17" si="2">VLOOKUP(R8,$C$7:$P$27,14,0)</f>
        <v>24558081.310000002</v>
      </c>
      <c r="V8" s="175">
        <f t="shared" ref="V8:V17" si="3">VLOOKUP(R8,$C$7:$P$27,14,0)-T8</f>
        <v>0</v>
      </c>
    </row>
    <row r="9" spans="1:23" x14ac:dyDescent="0.45">
      <c r="A9" s="190" t="s">
        <v>128</v>
      </c>
      <c r="B9" s="190" t="s">
        <v>66</v>
      </c>
      <c r="C9" s="190" t="s">
        <v>67</v>
      </c>
      <c r="D9" s="191">
        <v>876</v>
      </c>
      <c r="E9" s="191">
        <v>145101823</v>
      </c>
      <c r="F9" s="191">
        <v>0</v>
      </c>
      <c r="G9" s="191">
        <v>0</v>
      </c>
      <c r="H9" s="191">
        <v>876</v>
      </c>
      <c r="I9" s="191">
        <v>145101823</v>
      </c>
      <c r="J9" s="191">
        <v>9</v>
      </c>
      <c r="K9" s="191">
        <v>1309959</v>
      </c>
      <c r="L9" s="191">
        <v>683</v>
      </c>
      <c r="M9" s="191">
        <v>116190687</v>
      </c>
      <c r="N9" s="192">
        <v>77.97</v>
      </c>
      <c r="O9" s="192">
        <v>80.08</v>
      </c>
      <c r="P9" s="135">
        <f t="shared" si="0"/>
        <v>24558081.310000002</v>
      </c>
      <c r="R9" s="174" t="s">
        <v>87</v>
      </c>
      <c r="S9" s="176">
        <f t="shared" si="1"/>
        <v>141474291</v>
      </c>
      <c r="T9" s="175">
        <v>35959578.270000011</v>
      </c>
      <c r="U9" s="189">
        <f t="shared" si="2"/>
        <v>35959578.270000011</v>
      </c>
      <c r="V9" s="175">
        <f t="shared" si="3"/>
        <v>0</v>
      </c>
    </row>
    <row r="10" spans="1:23" x14ac:dyDescent="0.45">
      <c r="A10" s="193" t="s">
        <v>288</v>
      </c>
      <c r="B10" s="193" t="s">
        <v>122</v>
      </c>
      <c r="C10" s="193" t="s">
        <v>123</v>
      </c>
      <c r="D10" s="194">
        <v>308</v>
      </c>
      <c r="E10" s="194">
        <v>51982396</v>
      </c>
      <c r="F10" s="194">
        <v>0</v>
      </c>
      <c r="G10" s="194">
        <v>0</v>
      </c>
      <c r="H10" s="194">
        <v>308</v>
      </c>
      <c r="I10" s="194">
        <v>51982396</v>
      </c>
      <c r="J10" s="194">
        <v>5</v>
      </c>
      <c r="K10" s="194">
        <v>1193885</v>
      </c>
      <c r="L10" s="194">
        <v>243</v>
      </c>
      <c r="M10" s="194">
        <v>41588724</v>
      </c>
      <c r="N10" s="195">
        <v>78.900000000000006</v>
      </c>
      <c r="O10" s="195">
        <v>80.010000000000005</v>
      </c>
      <c r="P10" s="135">
        <f t="shared" si="0"/>
        <v>8834200.1199999973</v>
      </c>
      <c r="R10" s="174" t="s">
        <v>110</v>
      </c>
      <c r="S10" s="176">
        <f t="shared" si="1"/>
        <v>149379338</v>
      </c>
      <c r="T10" s="175">
        <v>46186242.859999985</v>
      </c>
      <c r="U10" s="189">
        <f t="shared" si="2"/>
        <v>46186242.859999985</v>
      </c>
      <c r="V10" s="175">
        <f t="shared" si="3"/>
        <v>0</v>
      </c>
    </row>
    <row r="11" spans="1:23" x14ac:dyDescent="0.45">
      <c r="A11" s="190" t="s">
        <v>129</v>
      </c>
      <c r="B11" s="190" t="s">
        <v>106</v>
      </c>
      <c r="C11" s="190" t="s">
        <v>107</v>
      </c>
      <c r="D11" s="191">
        <v>1048</v>
      </c>
      <c r="E11" s="191">
        <v>180440547</v>
      </c>
      <c r="F11" s="191">
        <v>0</v>
      </c>
      <c r="G11" s="191">
        <v>0</v>
      </c>
      <c r="H11" s="191">
        <v>1048</v>
      </c>
      <c r="I11" s="191">
        <v>180440547</v>
      </c>
      <c r="J11" s="191">
        <v>19</v>
      </c>
      <c r="K11" s="191">
        <v>3091276</v>
      </c>
      <c r="L11" s="191">
        <v>810</v>
      </c>
      <c r="M11" s="191">
        <v>143191323</v>
      </c>
      <c r="N11" s="192">
        <v>77.290000000000006</v>
      </c>
      <c r="O11" s="192">
        <v>79.36</v>
      </c>
      <c r="P11" s="135">
        <f t="shared" si="0"/>
        <v>31836007.590000004</v>
      </c>
      <c r="R11" s="173" t="s">
        <v>99</v>
      </c>
      <c r="S11" s="176">
        <f t="shared" si="1"/>
        <v>105953075</v>
      </c>
      <c r="T11" s="175">
        <v>29500740.75</v>
      </c>
      <c r="U11" s="189">
        <f t="shared" si="2"/>
        <v>29500740.75</v>
      </c>
      <c r="V11" s="175">
        <f t="shared" si="3"/>
        <v>0</v>
      </c>
    </row>
    <row r="12" spans="1:23" x14ac:dyDescent="0.45">
      <c r="A12" s="193" t="s">
        <v>288</v>
      </c>
      <c r="B12" s="193" t="s">
        <v>114</v>
      </c>
      <c r="C12" s="193" t="s">
        <v>115</v>
      </c>
      <c r="D12" s="194">
        <v>559</v>
      </c>
      <c r="E12" s="194">
        <v>93597302</v>
      </c>
      <c r="F12" s="194">
        <v>0</v>
      </c>
      <c r="G12" s="194">
        <v>0</v>
      </c>
      <c r="H12" s="194">
        <v>559</v>
      </c>
      <c r="I12" s="194">
        <v>93597302</v>
      </c>
      <c r="J12" s="194">
        <v>12</v>
      </c>
      <c r="K12" s="194">
        <v>2122634</v>
      </c>
      <c r="L12" s="194">
        <v>433</v>
      </c>
      <c r="M12" s="194">
        <v>74173286</v>
      </c>
      <c r="N12" s="195">
        <v>77.459999999999994</v>
      </c>
      <c r="O12" s="195">
        <v>79.25</v>
      </c>
      <c r="P12" s="135">
        <f t="shared" si="0"/>
        <v>16616096.939999998</v>
      </c>
      <c r="R12" s="173" t="s">
        <v>75</v>
      </c>
      <c r="S12" s="176">
        <f t="shared" si="1"/>
        <v>152862316</v>
      </c>
      <c r="T12" s="175">
        <v>31197103.520000011</v>
      </c>
      <c r="U12" s="189">
        <f t="shared" si="2"/>
        <v>31197103.520000011</v>
      </c>
      <c r="V12" s="175">
        <f t="shared" si="3"/>
        <v>0</v>
      </c>
    </row>
    <row r="13" spans="1:23" x14ac:dyDescent="0.45">
      <c r="A13" s="190" t="s">
        <v>288</v>
      </c>
      <c r="B13" s="190" t="s">
        <v>104</v>
      </c>
      <c r="C13" s="190" t="s">
        <v>105</v>
      </c>
      <c r="D13" s="191">
        <v>716</v>
      </c>
      <c r="E13" s="191">
        <v>116427734</v>
      </c>
      <c r="F13" s="191">
        <v>0</v>
      </c>
      <c r="G13" s="191">
        <v>0</v>
      </c>
      <c r="H13" s="191">
        <v>716</v>
      </c>
      <c r="I13" s="191">
        <v>116427734</v>
      </c>
      <c r="J13" s="191">
        <v>10</v>
      </c>
      <c r="K13" s="191">
        <v>1371257</v>
      </c>
      <c r="L13" s="191">
        <v>543</v>
      </c>
      <c r="M13" s="191">
        <v>90794233</v>
      </c>
      <c r="N13" s="192">
        <v>75.84</v>
      </c>
      <c r="O13" s="192">
        <v>77.98</v>
      </c>
      <c r="P13" s="135">
        <f t="shared" si="0"/>
        <v>22140668.980000004</v>
      </c>
      <c r="R13" s="173" t="s">
        <v>107</v>
      </c>
      <c r="S13" s="176">
        <f t="shared" si="1"/>
        <v>180440547</v>
      </c>
      <c r="T13" s="175">
        <v>31836007.590000004</v>
      </c>
      <c r="U13" s="189">
        <f t="shared" si="2"/>
        <v>31836007.590000004</v>
      </c>
      <c r="V13" s="175">
        <f t="shared" si="3"/>
        <v>0</v>
      </c>
    </row>
    <row r="14" spans="1:23" x14ac:dyDescent="0.45">
      <c r="A14" s="193" t="s">
        <v>129</v>
      </c>
      <c r="B14" s="193" t="s">
        <v>118</v>
      </c>
      <c r="C14" s="193" t="s">
        <v>119</v>
      </c>
      <c r="D14" s="194">
        <v>1181</v>
      </c>
      <c r="E14" s="194">
        <v>189656153</v>
      </c>
      <c r="F14" s="194">
        <v>0</v>
      </c>
      <c r="G14" s="194">
        <v>0</v>
      </c>
      <c r="H14" s="194">
        <v>1181</v>
      </c>
      <c r="I14" s="194">
        <v>189656153</v>
      </c>
      <c r="J14" s="194">
        <v>15</v>
      </c>
      <c r="K14" s="194">
        <v>1974868</v>
      </c>
      <c r="L14" s="194">
        <v>894</v>
      </c>
      <c r="M14" s="194">
        <v>146399537</v>
      </c>
      <c r="N14" s="195">
        <v>75.7</v>
      </c>
      <c r="O14" s="195">
        <v>77.19</v>
      </c>
      <c r="P14" s="135">
        <f t="shared" si="0"/>
        <v>37566931.409999996</v>
      </c>
      <c r="R14" s="174" t="s">
        <v>72</v>
      </c>
      <c r="S14" s="176">
        <f t="shared" si="1"/>
        <v>162344260</v>
      </c>
      <c r="T14" s="175">
        <v>41712909.199999988</v>
      </c>
      <c r="U14" s="189">
        <f t="shared" si="2"/>
        <v>41712909.199999988</v>
      </c>
      <c r="V14" s="175">
        <f t="shared" si="3"/>
        <v>0</v>
      </c>
    </row>
    <row r="15" spans="1:23" x14ac:dyDescent="0.45">
      <c r="A15" s="190" t="s">
        <v>129</v>
      </c>
      <c r="B15" s="190" t="s">
        <v>74</v>
      </c>
      <c r="C15" s="190" t="s">
        <v>75</v>
      </c>
      <c r="D15" s="191">
        <v>941</v>
      </c>
      <c r="E15" s="191">
        <v>152862316</v>
      </c>
      <c r="F15" s="191">
        <v>0</v>
      </c>
      <c r="G15" s="191">
        <v>0</v>
      </c>
      <c r="H15" s="191">
        <v>941</v>
      </c>
      <c r="I15" s="191">
        <v>152862316</v>
      </c>
      <c r="J15" s="191">
        <v>13</v>
      </c>
      <c r="K15" s="191">
        <v>1340571</v>
      </c>
      <c r="L15" s="191">
        <v>690</v>
      </c>
      <c r="M15" s="191">
        <v>117079343</v>
      </c>
      <c r="N15" s="192">
        <v>73.33</v>
      </c>
      <c r="O15" s="192">
        <v>76.59</v>
      </c>
      <c r="P15" s="135">
        <f t="shared" si="0"/>
        <v>31197103.520000011</v>
      </c>
      <c r="R15" s="174" t="s">
        <v>113</v>
      </c>
      <c r="S15" s="176">
        <f t="shared" si="1"/>
        <v>194517020</v>
      </c>
      <c r="T15" s="175">
        <v>59633806.400000006</v>
      </c>
      <c r="U15" s="189">
        <f t="shared" si="2"/>
        <v>59633806.400000006</v>
      </c>
      <c r="V15" s="175">
        <f t="shared" si="3"/>
        <v>0</v>
      </c>
    </row>
    <row r="16" spans="1:23" x14ac:dyDescent="0.45">
      <c r="A16" s="193" t="s">
        <v>288</v>
      </c>
      <c r="B16" s="193" t="s">
        <v>89</v>
      </c>
      <c r="C16" s="193" t="s">
        <v>90</v>
      </c>
      <c r="D16" s="194">
        <v>356</v>
      </c>
      <c r="E16" s="194">
        <v>53605661</v>
      </c>
      <c r="F16" s="194">
        <v>0</v>
      </c>
      <c r="G16" s="194">
        <v>0</v>
      </c>
      <c r="H16" s="194">
        <v>356</v>
      </c>
      <c r="I16" s="194">
        <v>53605661</v>
      </c>
      <c r="J16" s="194">
        <v>12</v>
      </c>
      <c r="K16" s="194">
        <v>1297321</v>
      </c>
      <c r="L16" s="194">
        <v>258</v>
      </c>
      <c r="M16" s="194">
        <v>40877201</v>
      </c>
      <c r="N16" s="195">
        <v>72.47</v>
      </c>
      <c r="O16" s="195">
        <v>76.260000000000005</v>
      </c>
      <c r="P16" s="135">
        <f t="shared" si="0"/>
        <v>11120290.170000002</v>
      </c>
      <c r="R16" s="174" t="s">
        <v>119</v>
      </c>
      <c r="S16" s="176">
        <f t="shared" si="1"/>
        <v>189656153</v>
      </c>
      <c r="T16" s="175">
        <v>37566931.409999996</v>
      </c>
      <c r="U16" s="189">
        <f t="shared" si="2"/>
        <v>37566931.409999996</v>
      </c>
      <c r="V16" s="175">
        <f t="shared" si="3"/>
        <v>0</v>
      </c>
    </row>
    <row r="17" spans="1:22" x14ac:dyDescent="0.45">
      <c r="A17" s="190" t="s">
        <v>288</v>
      </c>
      <c r="B17" s="190" t="s">
        <v>120</v>
      </c>
      <c r="C17" s="190" t="s">
        <v>121</v>
      </c>
      <c r="D17" s="191">
        <v>415</v>
      </c>
      <c r="E17" s="191">
        <v>66800107</v>
      </c>
      <c r="F17" s="191">
        <v>0</v>
      </c>
      <c r="G17" s="191">
        <v>0</v>
      </c>
      <c r="H17" s="191">
        <v>415</v>
      </c>
      <c r="I17" s="191">
        <v>66800107</v>
      </c>
      <c r="J17" s="191">
        <v>4</v>
      </c>
      <c r="K17" s="191">
        <v>520496</v>
      </c>
      <c r="L17" s="191">
        <v>297</v>
      </c>
      <c r="M17" s="191">
        <v>49833081</v>
      </c>
      <c r="N17" s="192">
        <v>71.569999999999993</v>
      </c>
      <c r="O17" s="192">
        <v>74.599999999999994</v>
      </c>
      <c r="P17" s="135">
        <f t="shared" si="0"/>
        <v>14963022.789999999</v>
      </c>
      <c r="R17" s="173" t="s">
        <v>84</v>
      </c>
      <c r="S17" s="176">
        <f t="shared" si="1"/>
        <v>95369711</v>
      </c>
      <c r="T17" s="175">
        <v>22510770.670000002</v>
      </c>
      <c r="U17" s="189">
        <f t="shared" si="2"/>
        <v>22510770.670000002</v>
      </c>
      <c r="V17" s="175">
        <f t="shared" si="3"/>
        <v>0</v>
      </c>
    </row>
    <row r="18" spans="1:22" x14ac:dyDescent="0.45">
      <c r="A18" s="193" t="s">
        <v>128</v>
      </c>
      <c r="B18" s="193" t="s">
        <v>116</v>
      </c>
      <c r="C18" s="193" t="s">
        <v>117</v>
      </c>
      <c r="D18" s="194">
        <v>642</v>
      </c>
      <c r="E18" s="194">
        <v>101866340</v>
      </c>
      <c r="F18" s="194">
        <v>0</v>
      </c>
      <c r="G18" s="194">
        <v>0</v>
      </c>
      <c r="H18" s="194">
        <v>642</v>
      </c>
      <c r="I18" s="194">
        <v>101866340</v>
      </c>
      <c r="J18" s="194">
        <v>10</v>
      </c>
      <c r="K18" s="194">
        <v>1554987</v>
      </c>
      <c r="L18" s="194">
        <v>457</v>
      </c>
      <c r="M18" s="194">
        <v>75570860</v>
      </c>
      <c r="N18" s="195">
        <v>71.180000000000007</v>
      </c>
      <c r="O18" s="195">
        <v>74.19</v>
      </c>
      <c r="P18" s="135">
        <f t="shared" si="0"/>
        <v>23239489.799999997</v>
      </c>
    </row>
    <row r="19" spans="1:22" x14ac:dyDescent="0.45">
      <c r="A19" s="190" t="s">
        <v>288</v>
      </c>
      <c r="B19" s="190" t="s">
        <v>289</v>
      </c>
      <c r="C19" s="190" t="s">
        <v>284</v>
      </c>
      <c r="D19" s="191">
        <v>318</v>
      </c>
      <c r="E19" s="191">
        <v>50351985</v>
      </c>
      <c r="F19" s="191">
        <v>0</v>
      </c>
      <c r="G19" s="191">
        <v>0</v>
      </c>
      <c r="H19" s="191">
        <v>318</v>
      </c>
      <c r="I19" s="191">
        <v>50351985</v>
      </c>
      <c r="J19" s="191">
        <v>2</v>
      </c>
      <c r="K19" s="191">
        <v>92893</v>
      </c>
      <c r="L19" s="191">
        <v>226</v>
      </c>
      <c r="M19" s="191">
        <v>37115091</v>
      </c>
      <c r="N19" s="192">
        <v>71.069999999999993</v>
      </c>
      <c r="O19" s="192">
        <v>73.709999999999994</v>
      </c>
      <c r="P19" s="135">
        <f t="shared" si="0"/>
        <v>11726334.449999996</v>
      </c>
    </row>
    <row r="20" spans="1:22" x14ac:dyDescent="0.45">
      <c r="A20" s="193" t="s">
        <v>129</v>
      </c>
      <c r="B20" s="193" t="s">
        <v>83</v>
      </c>
      <c r="C20" s="193" t="s">
        <v>84</v>
      </c>
      <c r="D20" s="194">
        <v>588</v>
      </c>
      <c r="E20" s="194">
        <v>95369711</v>
      </c>
      <c r="F20" s="194">
        <v>0</v>
      </c>
      <c r="G20" s="194">
        <v>0</v>
      </c>
      <c r="H20" s="194">
        <v>588</v>
      </c>
      <c r="I20" s="194">
        <v>95369711</v>
      </c>
      <c r="J20" s="194">
        <v>90</v>
      </c>
      <c r="K20" s="194">
        <v>14156904</v>
      </c>
      <c r="L20" s="194">
        <v>424</v>
      </c>
      <c r="M20" s="194">
        <v>69997849</v>
      </c>
      <c r="N20" s="195">
        <v>72.11</v>
      </c>
      <c r="O20" s="195">
        <v>73.400000000000006</v>
      </c>
      <c r="P20" s="135">
        <f t="shared" si="0"/>
        <v>22510770.670000002</v>
      </c>
    </row>
    <row r="21" spans="1:22" x14ac:dyDescent="0.45">
      <c r="A21" s="190" t="s">
        <v>128</v>
      </c>
      <c r="B21" s="190" t="s">
        <v>86</v>
      </c>
      <c r="C21" s="190" t="s">
        <v>87</v>
      </c>
      <c r="D21" s="191">
        <v>853</v>
      </c>
      <c r="E21" s="191">
        <v>141474291</v>
      </c>
      <c r="F21" s="191">
        <v>0</v>
      </c>
      <c r="G21" s="191">
        <v>0</v>
      </c>
      <c r="H21" s="191">
        <v>853</v>
      </c>
      <c r="I21" s="191">
        <v>141474291</v>
      </c>
      <c r="J21" s="191">
        <v>14</v>
      </c>
      <c r="K21" s="191">
        <v>2076460</v>
      </c>
      <c r="L21" s="191">
        <v>605</v>
      </c>
      <c r="M21" s="191">
        <v>101270484</v>
      </c>
      <c r="N21" s="192">
        <v>70.930000000000007</v>
      </c>
      <c r="O21" s="192">
        <v>71.58</v>
      </c>
      <c r="P21" s="135">
        <f t="shared" si="0"/>
        <v>35959578.270000011</v>
      </c>
    </row>
    <row r="22" spans="1:22" x14ac:dyDescent="0.45">
      <c r="A22" s="193" t="s">
        <v>129</v>
      </c>
      <c r="B22" s="193" t="s">
        <v>71</v>
      </c>
      <c r="C22" s="193" t="s">
        <v>72</v>
      </c>
      <c r="D22" s="194">
        <v>968</v>
      </c>
      <c r="E22" s="194">
        <v>162344260</v>
      </c>
      <c r="F22" s="194">
        <v>0</v>
      </c>
      <c r="G22" s="194">
        <v>0</v>
      </c>
      <c r="H22" s="194">
        <v>968</v>
      </c>
      <c r="I22" s="194">
        <v>162344260</v>
      </c>
      <c r="J22" s="194">
        <v>12</v>
      </c>
      <c r="K22" s="194">
        <v>2204794</v>
      </c>
      <c r="L22" s="194">
        <v>679</v>
      </c>
      <c r="M22" s="194">
        <v>115761023</v>
      </c>
      <c r="N22" s="195">
        <v>70.14</v>
      </c>
      <c r="O22" s="195">
        <v>71.31</v>
      </c>
      <c r="P22" s="135">
        <f t="shared" si="0"/>
        <v>41712909.199999988</v>
      </c>
    </row>
    <row r="23" spans="1:22" x14ac:dyDescent="0.45">
      <c r="A23" s="190" t="s">
        <v>128</v>
      </c>
      <c r="B23" s="190" t="s">
        <v>98</v>
      </c>
      <c r="C23" s="190" t="s">
        <v>99</v>
      </c>
      <c r="D23" s="191">
        <v>687</v>
      </c>
      <c r="E23" s="191">
        <v>105953075</v>
      </c>
      <c r="F23" s="191">
        <v>0</v>
      </c>
      <c r="G23" s="191">
        <v>0</v>
      </c>
      <c r="H23" s="191">
        <v>687</v>
      </c>
      <c r="I23" s="191">
        <v>105953075</v>
      </c>
      <c r="J23" s="191">
        <v>15</v>
      </c>
      <c r="K23" s="191">
        <v>1927281</v>
      </c>
      <c r="L23" s="191">
        <v>465</v>
      </c>
      <c r="M23" s="191">
        <v>73273742</v>
      </c>
      <c r="N23" s="192">
        <v>67.69</v>
      </c>
      <c r="O23" s="192">
        <v>69.16</v>
      </c>
      <c r="P23" s="135">
        <f t="shared" si="0"/>
        <v>29500740.75</v>
      </c>
    </row>
    <row r="24" spans="1:22" x14ac:dyDescent="0.45">
      <c r="A24" s="193" t="s">
        <v>129</v>
      </c>
      <c r="B24" s="193" t="s">
        <v>112</v>
      </c>
      <c r="C24" s="193" t="s">
        <v>113</v>
      </c>
      <c r="D24" s="194">
        <v>1198</v>
      </c>
      <c r="E24" s="194">
        <v>194517020</v>
      </c>
      <c r="F24" s="194">
        <v>0</v>
      </c>
      <c r="G24" s="194">
        <v>0</v>
      </c>
      <c r="H24" s="194">
        <v>1198</v>
      </c>
      <c r="I24" s="194">
        <v>194517020</v>
      </c>
      <c r="J24" s="194">
        <v>17</v>
      </c>
      <c r="K24" s="194">
        <v>3003675</v>
      </c>
      <c r="L24" s="194">
        <v>775</v>
      </c>
      <c r="M24" s="194">
        <v>129047703</v>
      </c>
      <c r="N24" s="195">
        <v>64.69</v>
      </c>
      <c r="O24" s="195">
        <v>66.34</v>
      </c>
      <c r="P24" s="135">
        <f t="shared" si="0"/>
        <v>59633806.400000006</v>
      </c>
    </row>
    <row r="25" spans="1:22" x14ac:dyDescent="0.45">
      <c r="A25" s="190" t="s">
        <v>128</v>
      </c>
      <c r="B25" s="190" t="s">
        <v>109</v>
      </c>
      <c r="C25" s="190" t="s">
        <v>110</v>
      </c>
      <c r="D25" s="191">
        <v>892</v>
      </c>
      <c r="E25" s="191">
        <v>149379338</v>
      </c>
      <c r="F25" s="191">
        <v>0</v>
      </c>
      <c r="G25" s="191">
        <v>0</v>
      </c>
      <c r="H25" s="191">
        <v>892</v>
      </c>
      <c r="I25" s="191">
        <v>149379338</v>
      </c>
      <c r="J25" s="191">
        <v>50</v>
      </c>
      <c r="K25" s="191">
        <v>8404845</v>
      </c>
      <c r="L25" s="191">
        <v>597</v>
      </c>
      <c r="M25" s="191">
        <v>98711715</v>
      </c>
      <c r="N25" s="192">
        <v>66.930000000000007</v>
      </c>
      <c r="O25" s="192">
        <v>66.08</v>
      </c>
      <c r="P25" s="135">
        <f t="shared" si="0"/>
        <v>46186242.859999985</v>
      </c>
    </row>
    <row r="26" spans="1:22" x14ac:dyDescent="0.45">
      <c r="A26" s="193" t="s">
        <v>288</v>
      </c>
      <c r="B26" s="193" t="s">
        <v>77</v>
      </c>
      <c r="C26" s="193" t="s">
        <v>78</v>
      </c>
      <c r="D26" s="194">
        <v>683</v>
      </c>
      <c r="E26" s="194">
        <v>105983346</v>
      </c>
      <c r="F26" s="194">
        <v>0</v>
      </c>
      <c r="G26" s="194">
        <v>0</v>
      </c>
      <c r="H26" s="194">
        <v>683</v>
      </c>
      <c r="I26" s="194">
        <v>105983346</v>
      </c>
      <c r="J26" s="194">
        <v>164</v>
      </c>
      <c r="K26" s="194">
        <v>24260428</v>
      </c>
      <c r="L26" s="194">
        <v>442</v>
      </c>
      <c r="M26" s="194">
        <v>68103742</v>
      </c>
      <c r="N26" s="195">
        <v>64.709999999999994</v>
      </c>
      <c r="O26" s="195">
        <v>64.260000000000005</v>
      </c>
      <c r="P26" s="135">
        <f t="shared" si="0"/>
        <v>34700103.61999999</v>
      </c>
    </row>
    <row r="27" spans="1:22" x14ac:dyDescent="0.45">
      <c r="A27" s="190" t="s">
        <v>288</v>
      </c>
      <c r="B27" s="190" t="s">
        <v>80</v>
      </c>
      <c r="C27" s="190" t="s">
        <v>81</v>
      </c>
      <c r="D27" s="191">
        <v>546</v>
      </c>
      <c r="E27" s="191">
        <v>89879995</v>
      </c>
      <c r="F27" s="191">
        <v>0</v>
      </c>
      <c r="G27" s="191">
        <v>0</v>
      </c>
      <c r="H27" s="191">
        <v>546</v>
      </c>
      <c r="I27" s="191">
        <v>89879995</v>
      </c>
      <c r="J27" s="191">
        <v>9</v>
      </c>
      <c r="K27" s="191">
        <v>1305214</v>
      </c>
      <c r="L27" s="191">
        <v>339</v>
      </c>
      <c r="M27" s="191">
        <v>57422374</v>
      </c>
      <c r="N27" s="192">
        <v>62.09</v>
      </c>
      <c r="O27" s="192">
        <v>63.89</v>
      </c>
      <c r="P27" s="135">
        <f t="shared" si="0"/>
        <v>29761221.149999991</v>
      </c>
    </row>
  </sheetData>
  <mergeCells count="19"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  <mergeCell ref="U5:U6"/>
    <mergeCell ref="V5:V6"/>
    <mergeCell ref="R5:R6"/>
    <mergeCell ref="S5:S6"/>
    <mergeCell ref="T5:T6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265</v>
      </c>
    </row>
    <row r="2" spans="1:5" x14ac:dyDescent="0.45">
      <c r="A2" s="96" t="s">
        <v>3</v>
      </c>
      <c r="B2" s="96">
        <v>49</v>
      </c>
      <c r="D2" s="96" t="s">
        <v>3</v>
      </c>
      <c r="E2" s="96">
        <v>49</v>
      </c>
    </row>
    <row r="3" spans="1:5" x14ac:dyDescent="0.45">
      <c r="A3" s="96" t="s">
        <v>40</v>
      </c>
      <c r="B3" s="96">
        <v>57</v>
      </c>
      <c r="D3" s="96" t="s">
        <v>40</v>
      </c>
      <c r="E3" s="96">
        <v>57</v>
      </c>
    </row>
    <row r="4" spans="1:5" ht="28.5" x14ac:dyDescent="0.45">
      <c r="A4" s="96" t="s">
        <v>41</v>
      </c>
      <c r="B4" s="96">
        <v>113</v>
      </c>
      <c r="D4" s="96" t="s">
        <v>41</v>
      </c>
      <c r="E4" s="96">
        <v>105</v>
      </c>
    </row>
    <row r="5" spans="1:5" x14ac:dyDescent="0.45">
      <c r="A5" s="96" t="s">
        <v>42</v>
      </c>
      <c r="B5" s="96">
        <v>161</v>
      </c>
      <c r="D5" s="96" t="s">
        <v>42</v>
      </c>
      <c r="E5" s="96">
        <v>153</v>
      </c>
    </row>
    <row r="6" spans="1:5" x14ac:dyDescent="0.45">
      <c r="A6" s="96" t="s">
        <v>125</v>
      </c>
      <c r="B6" s="96">
        <v>169</v>
      </c>
      <c r="D6" s="96" t="s">
        <v>125</v>
      </c>
      <c r="E6" s="96">
        <v>161</v>
      </c>
    </row>
    <row r="7" spans="1:5" x14ac:dyDescent="0.45">
      <c r="A7" s="96" t="s">
        <v>43</v>
      </c>
      <c r="B7" s="96">
        <v>177</v>
      </c>
      <c r="D7" s="96" t="s">
        <v>43</v>
      </c>
      <c r="E7" s="96">
        <v>169</v>
      </c>
    </row>
    <row r="8" spans="1:5" x14ac:dyDescent="0.45">
      <c r="A8" s="97" t="s">
        <v>44</v>
      </c>
      <c r="B8" s="96">
        <v>137</v>
      </c>
      <c r="D8" s="96" t="s">
        <v>44</v>
      </c>
      <c r="E8" s="96">
        <v>129</v>
      </c>
    </row>
    <row r="9" spans="1:5" x14ac:dyDescent="0.45">
      <c r="A9" s="97" t="s">
        <v>45</v>
      </c>
      <c r="B9" s="96">
        <v>193</v>
      </c>
      <c r="D9" s="96" t="s">
        <v>45</v>
      </c>
      <c r="E9" s="96">
        <v>185</v>
      </c>
    </row>
    <row r="10" spans="1:5" x14ac:dyDescent="0.45">
      <c r="A10" s="97" t="s">
        <v>46</v>
      </c>
      <c r="B10" s="96">
        <v>97</v>
      </c>
      <c r="D10" s="96" t="s">
        <v>46</v>
      </c>
      <c r="E10" s="96">
        <v>97</v>
      </c>
    </row>
    <row r="11" spans="1:5" x14ac:dyDescent="0.45">
      <c r="A11" s="97" t="s">
        <v>47</v>
      </c>
      <c r="B11" s="96">
        <v>89</v>
      </c>
      <c r="D11" s="96" t="s">
        <v>47</v>
      </c>
      <c r="E11" s="96">
        <v>89</v>
      </c>
    </row>
    <row r="12" spans="1:5" x14ac:dyDescent="0.45">
      <c r="A12" s="97" t="s">
        <v>48</v>
      </c>
      <c r="B12" s="96">
        <v>153</v>
      </c>
      <c r="D12" s="96" t="s">
        <v>48</v>
      </c>
      <c r="E12" s="96">
        <v>145</v>
      </c>
    </row>
    <row r="13" spans="1:5" x14ac:dyDescent="0.45">
      <c r="A13" s="97" t="s">
        <v>49</v>
      </c>
      <c r="B13" s="96">
        <v>9</v>
      </c>
      <c r="D13" s="96" t="s">
        <v>49</v>
      </c>
      <c r="E13" s="96">
        <v>9</v>
      </c>
    </row>
    <row r="14" spans="1:5" x14ac:dyDescent="0.45">
      <c r="A14" s="97" t="s">
        <v>50</v>
      </c>
      <c r="B14" s="96">
        <v>17</v>
      </c>
      <c r="D14" s="96" t="s">
        <v>50</v>
      </c>
      <c r="E14" s="96">
        <v>17</v>
      </c>
    </row>
    <row r="15" spans="1:5" x14ac:dyDescent="0.45">
      <c r="A15" s="97" t="s">
        <v>13</v>
      </c>
      <c r="B15" s="96">
        <v>25</v>
      </c>
      <c r="D15" s="96" t="s">
        <v>13</v>
      </c>
      <c r="E15" s="96">
        <v>25</v>
      </c>
    </row>
    <row r="16" spans="1:5" x14ac:dyDescent="0.45">
      <c r="A16" s="97" t="s">
        <v>51</v>
      </c>
      <c r="B16" s="96">
        <v>81</v>
      </c>
      <c r="D16" s="96" t="s">
        <v>51</v>
      </c>
      <c r="E16" s="96">
        <v>81</v>
      </c>
    </row>
    <row r="17" spans="1:5" x14ac:dyDescent="0.45">
      <c r="A17" s="97" t="s">
        <v>14</v>
      </c>
      <c r="B17" s="96">
        <v>73</v>
      </c>
      <c r="D17" s="96" t="s">
        <v>14</v>
      </c>
      <c r="E17" s="96">
        <v>73</v>
      </c>
    </row>
    <row r="18" spans="1:5" x14ac:dyDescent="0.45">
      <c r="A18" s="97" t="s">
        <v>52</v>
      </c>
      <c r="B18" s="96"/>
      <c r="D18" s="96" t="s">
        <v>52</v>
      </c>
      <c r="E18" s="96"/>
    </row>
    <row r="19" spans="1:5" x14ac:dyDescent="0.45">
      <c r="A19" s="97" t="s">
        <v>16</v>
      </c>
      <c r="B19" s="96">
        <v>65</v>
      </c>
      <c r="D19" s="96" t="s">
        <v>16</v>
      </c>
      <c r="E19" s="96">
        <v>65</v>
      </c>
    </row>
    <row r="20" spans="1:5" x14ac:dyDescent="0.45">
      <c r="A20" s="97" t="s">
        <v>53</v>
      </c>
      <c r="B20" s="96"/>
      <c r="D20" s="96" t="s">
        <v>53</v>
      </c>
      <c r="E20" s="96"/>
    </row>
    <row r="21" spans="1:5" x14ac:dyDescent="0.45">
      <c r="A21" s="97" t="s">
        <v>54</v>
      </c>
      <c r="B21" s="96">
        <v>145</v>
      </c>
      <c r="D21" s="96" t="s">
        <v>54</v>
      </c>
      <c r="E21" s="96">
        <v>137</v>
      </c>
    </row>
    <row r="22" spans="1:5" x14ac:dyDescent="0.45">
      <c r="A22" s="97" t="s">
        <v>55</v>
      </c>
      <c r="B22" s="96">
        <v>121</v>
      </c>
      <c r="D22" s="96" t="s">
        <v>55</v>
      </c>
      <c r="E22" s="96">
        <v>113</v>
      </c>
    </row>
    <row r="23" spans="1:5" x14ac:dyDescent="0.45">
      <c r="A23" s="97" t="s">
        <v>56</v>
      </c>
      <c r="B23" s="96">
        <v>33</v>
      </c>
      <c r="D23" s="96" t="s">
        <v>56</v>
      </c>
      <c r="E23" s="96">
        <v>33</v>
      </c>
    </row>
    <row r="24" spans="1:5" x14ac:dyDescent="0.45">
      <c r="A24" s="97" t="s">
        <v>57</v>
      </c>
      <c r="B24" s="96">
        <v>129</v>
      </c>
      <c r="D24" s="96" t="s">
        <v>57</v>
      </c>
      <c r="E24" s="96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3</vt:i4>
      </vt:variant>
    </vt:vector>
  </HeadingPairs>
  <TitlesOfParts>
    <vt:vector size="13" baseType="lpstr">
      <vt:lpstr>TH NV</vt:lpstr>
      <vt:lpstr>điểm NV</vt:lpstr>
      <vt:lpstr>tiến độ</vt:lpstr>
      <vt:lpstr>GBOC</vt:lpstr>
      <vt:lpstr>Giao CT</vt:lpstr>
      <vt:lpstr>VDS</vt:lpstr>
      <vt:lpstr>KPI năm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2026-02-24T01:14:19Z</dcterms:modified>
</cp:coreProperties>
</file>